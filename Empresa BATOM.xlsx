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36AF2029-EC56-48DC-922C-30443E7AAB23}" xr6:coauthVersionLast="36" xr6:coauthVersionMax="36" xr10:uidLastSave="{00000000-0000-0000-0000-000000000000}"/>
  <bookViews>
    <workbookView xWindow="0" yWindow="0" windowWidth="28800" windowHeight="12225" activeTab="1" xr2:uid="{D4B033A2-AB81-40B2-934E-DCA47A7668A0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8" i="2" l="1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10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58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D10" i="1"/>
  <c r="D11" i="1"/>
  <c r="D12" i="1"/>
  <c r="D13" i="1"/>
  <c r="D14" i="1"/>
  <c r="D15" i="1"/>
  <c r="D16" i="1"/>
  <c r="D17" i="1"/>
  <c r="D18" i="1"/>
  <c r="D19" i="1"/>
  <c r="D20" i="1"/>
  <c r="D21" i="1"/>
  <c r="I21" i="1" s="1"/>
  <c r="D22" i="1"/>
  <c r="D23" i="1"/>
  <c r="D24" i="1"/>
  <c r="D25" i="1"/>
  <c r="D26" i="1"/>
  <c r="D27" i="1"/>
  <c r="D28" i="1"/>
  <c r="D29" i="1"/>
  <c r="D30" i="1"/>
  <c r="D34" i="1"/>
  <c r="D35" i="1"/>
  <c r="D36" i="1"/>
  <c r="I36" i="1" s="1"/>
  <c r="D37" i="1"/>
  <c r="D38" i="1"/>
  <c r="D39" i="1"/>
  <c r="D40" i="1"/>
  <c r="D41" i="1"/>
  <c r="D42" i="1"/>
  <c r="D43" i="1"/>
  <c r="D44" i="1"/>
  <c r="D45" i="1"/>
  <c r="D46" i="1"/>
  <c r="D47" i="1"/>
  <c r="D48" i="1"/>
  <c r="I48" i="1" s="1"/>
  <c r="D49" i="1"/>
  <c r="D50" i="1"/>
  <c r="D51" i="1"/>
  <c r="D52" i="1"/>
  <c r="D53" i="1"/>
  <c r="D54" i="1"/>
  <c r="D58" i="1"/>
  <c r="D59" i="1"/>
  <c r="D60" i="1"/>
  <c r="D61" i="1"/>
  <c r="D62" i="1"/>
  <c r="D63" i="1"/>
  <c r="I63" i="1" s="1"/>
  <c r="D64" i="1"/>
  <c r="D65" i="1"/>
  <c r="I65" i="1" s="1"/>
  <c r="D66" i="1"/>
  <c r="D67" i="1"/>
  <c r="D68" i="1"/>
  <c r="D69" i="1"/>
  <c r="D70" i="1"/>
  <c r="D71" i="1"/>
  <c r="D72" i="1"/>
  <c r="D73" i="1"/>
  <c r="D74" i="1"/>
  <c r="D75" i="1"/>
  <c r="I75" i="1" s="1"/>
  <c r="D76" i="1"/>
  <c r="D77" i="1"/>
  <c r="D78" i="1"/>
  <c r="E10" i="1"/>
  <c r="E11" i="1"/>
  <c r="E12" i="1"/>
  <c r="E13" i="1"/>
  <c r="E14" i="1"/>
  <c r="E15" i="1"/>
  <c r="J15" i="1" s="1"/>
  <c r="E16" i="1"/>
  <c r="E17" i="1"/>
  <c r="E18" i="1"/>
  <c r="J18" i="1" s="1"/>
  <c r="E19" i="1"/>
  <c r="E20" i="1"/>
  <c r="E21" i="1"/>
  <c r="J21" i="1" s="1"/>
  <c r="E22" i="1"/>
  <c r="E23" i="1"/>
  <c r="E24" i="1"/>
  <c r="E25" i="1"/>
  <c r="E26" i="1"/>
  <c r="E27" i="1"/>
  <c r="J27" i="1" s="1"/>
  <c r="E28" i="1"/>
  <c r="E29" i="1"/>
  <c r="E30" i="1"/>
  <c r="J30" i="1" s="1"/>
  <c r="E34" i="1"/>
  <c r="E35" i="1"/>
  <c r="E36" i="1"/>
  <c r="J36" i="1" s="1"/>
  <c r="E37" i="1"/>
  <c r="E38" i="1"/>
  <c r="E39" i="1"/>
  <c r="E40" i="1"/>
  <c r="E41" i="1"/>
  <c r="E42" i="1"/>
  <c r="E43" i="1"/>
  <c r="I44" i="1"/>
  <c r="E44" i="1"/>
  <c r="J44" i="1" s="1"/>
  <c r="E45" i="1"/>
  <c r="E46" i="1"/>
  <c r="E47" i="1"/>
  <c r="J47" i="1" s="1"/>
  <c r="E48" i="1"/>
  <c r="J48" i="1" s="1"/>
  <c r="E49" i="1"/>
  <c r="E50" i="1"/>
  <c r="E51" i="1"/>
  <c r="E52" i="1"/>
  <c r="E53" i="1"/>
  <c r="E54" i="1"/>
  <c r="J54" i="1" s="1"/>
  <c r="E58" i="1"/>
  <c r="J58" i="1" s="1"/>
  <c r="E59" i="1"/>
  <c r="J59" i="1" s="1"/>
  <c r="E60" i="1"/>
  <c r="J60" i="1" s="1"/>
  <c r="E61" i="1"/>
  <c r="E62" i="1"/>
  <c r="J62" i="1" s="1"/>
  <c r="E63" i="1"/>
  <c r="J63" i="1" s="1"/>
  <c r="E64" i="1"/>
  <c r="J64" i="1" s="1"/>
  <c r="E65" i="1"/>
  <c r="E66" i="1"/>
  <c r="E67" i="1"/>
  <c r="J67" i="1" s="1"/>
  <c r="E68" i="1"/>
  <c r="J68" i="1" s="1"/>
  <c r="E69" i="1"/>
  <c r="J69" i="1" s="1"/>
  <c r="E70" i="1"/>
  <c r="J70" i="1" s="1"/>
  <c r="E71" i="1"/>
  <c r="J71" i="1" s="1"/>
  <c r="E72" i="1"/>
  <c r="E73" i="1"/>
  <c r="J73" i="1" s="1"/>
  <c r="E74" i="1"/>
  <c r="E75" i="1"/>
  <c r="J75" i="1" s="1"/>
  <c r="E76" i="1"/>
  <c r="J76" i="1" s="1"/>
  <c r="E77" i="1"/>
  <c r="E78" i="1"/>
  <c r="I38" i="1"/>
  <c r="I50" i="1"/>
  <c r="J12" i="1"/>
  <c r="J24" i="1"/>
  <c r="C10" i="1"/>
  <c r="H10" i="1" s="1"/>
  <c r="I58" i="1"/>
  <c r="I59" i="1"/>
  <c r="I60" i="1"/>
  <c r="I61" i="1"/>
  <c r="J61" i="1"/>
  <c r="I62" i="1"/>
  <c r="I64" i="1"/>
  <c r="J65" i="1"/>
  <c r="I66" i="1"/>
  <c r="J66" i="1"/>
  <c r="I67" i="1"/>
  <c r="I68" i="1"/>
  <c r="I69" i="1"/>
  <c r="I70" i="1"/>
  <c r="I71" i="1"/>
  <c r="I72" i="1"/>
  <c r="J72" i="1"/>
  <c r="I73" i="1"/>
  <c r="I74" i="1"/>
  <c r="J74" i="1"/>
  <c r="I76" i="1"/>
  <c r="I77" i="1"/>
  <c r="J77" i="1"/>
  <c r="I78" i="1"/>
  <c r="J78" i="1"/>
  <c r="C59" i="1"/>
  <c r="H59" i="1" s="1"/>
  <c r="C60" i="1"/>
  <c r="H60" i="1" s="1"/>
  <c r="C61" i="1"/>
  <c r="H61" i="1" s="1"/>
  <c r="C62" i="1"/>
  <c r="H62" i="1" s="1"/>
  <c r="C63" i="1"/>
  <c r="H63" i="1" s="1"/>
  <c r="C64" i="1"/>
  <c r="H64" i="1" s="1"/>
  <c r="C65" i="1"/>
  <c r="H65" i="1" s="1"/>
  <c r="C66" i="1"/>
  <c r="H66" i="1" s="1"/>
  <c r="C67" i="1"/>
  <c r="H67" i="1" s="1"/>
  <c r="C68" i="1"/>
  <c r="H68" i="1" s="1"/>
  <c r="C69" i="1"/>
  <c r="H69" i="1" s="1"/>
  <c r="C70" i="1"/>
  <c r="H70" i="1" s="1"/>
  <c r="C71" i="1"/>
  <c r="H71" i="1" s="1"/>
  <c r="C72" i="1"/>
  <c r="H72" i="1" s="1"/>
  <c r="C73" i="1"/>
  <c r="H73" i="1" s="1"/>
  <c r="C74" i="1"/>
  <c r="H74" i="1" s="1"/>
  <c r="C75" i="1"/>
  <c r="H75" i="1" s="1"/>
  <c r="C76" i="1"/>
  <c r="H76" i="1" s="1"/>
  <c r="C77" i="1"/>
  <c r="H77" i="1" s="1"/>
  <c r="C78" i="1"/>
  <c r="H78" i="1" s="1"/>
  <c r="C58" i="1"/>
  <c r="H58" i="1" s="1"/>
  <c r="I34" i="1"/>
  <c r="J34" i="1"/>
  <c r="I35" i="1"/>
  <c r="J35" i="1"/>
  <c r="I37" i="1"/>
  <c r="J37" i="1"/>
  <c r="J38" i="1"/>
  <c r="I39" i="1"/>
  <c r="J39" i="1"/>
  <c r="I40" i="1"/>
  <c r="J40" i="1"/>
  <c r="I41" i="1"/>
  <c r="J41" i="1"/>
  <c r="I42" i="1"/>
  <c r="J42" i="1"/>
  <c r="I43" i="1"/>
  <c r="J43" i="1"/>
  <c r="I45" i="1"/>
  <c r="J45" i="1"/>
  <c r="I46" i="1"/>
  <c r="J46" i="1"/>
  <c r="I47" i="1"/>
  <c r="I49" i="1"/>
  <c r="J49" i="1"/>
  <c r="J50" i="1"/>
  <c r="I51" i="1"/>
  <c r="J51" i="1"/>
  <c r="I52" i="1"/>
  <c r="J52" i="1"/>
  <c r="I53" i="1"/>
  <c r="J53" i="1"/>
  <c r="I54" i="1"/>
  <c r="C35" i="1"/>
  <c r="H35" i="1" s="1"/>
  <c r="C36" i="1"/>
  <c r="H36" i="1" s="1"/>
  <c r="C37" i="1"/>
  <c r="H37" i="1" s="1"/>
  <c r="C38" i="1"/>
  <c r="H38" i="1" s="1"/>
  <c r="C39" i="1"/>
  <c r="H39" i="1" s="1"/>
  <c r="C40" i="1"/>
  <c r="H40" i="1" s="1"/>
  <c r="C41" i="1"/>
  <c r="H41" i="1" s="1"/>
  <c r="C42" i="1"/>
  <c r="H42" i="1" s="1"/>
  <c r="C43" i="1"/>
  <c r="H43" i="1" s="1"/>
  <c r="C44" i="1"/>
  <c r="H44" i="1" s="1"/>
  <c r="C45" i="1"/>
  <c r="H45" i="1" s="1"/>
  <c r="C46" i="1"/>
  <c r="H46" i="1" s="1"/>
  <c r="C47" i="1"/>
  <c r="H47" i="1" s="1"/>
  <c r="C48" i="1"/>
  <c r="H48" i="1" s="1"/>
  <c r="C49" i="1"/>
  <c r="H49" i="1" s="1"/>
  <c r="C50" i="1"/>
  <c r="H50" i="1" s="1"/>
  <c r="C51" i="1"/>
  <c r="H51" i="1" s="1"/>
  <c r="C52" i="1"/>
  <c r="H52" i="1" s="1"/>
  <c r="C53" i="1"/>
  <c r="H53" i="1" s="1"/>
  <c r="C54" i="1"/>
  <c r="H54" i="1" s="1"/>
  <c r="C34" i="1"/>
  <c r="H34" i="1" s="1"/>
  <c r="C11" i="1"/>
  <c r="H11" i="1" s="1"/>
  <c r="I11" i="1"/>
  <c r="J11" i="1"/>
  <c r="C12" i="1"/>
  <c r="H12" i="1" s="1"/>
  <c r="I12" i="1"/>
  <c r="C13" i="1"/>
  <c r="H13" i="1" s="1"/>
  <c r="I13" i="1"/>
  <c r="J13" i="1"/>
  <c r="C14" i="1"/>
  <c r="H14" i="1" s="1"/>
  <c r="I14" i="1"/>
  <c r="J14" i="1"/>
  <c r="C15" i="1"/>
  <c r="H15" i="1" s="1"/>
  <c r="I15" i="1"/>
  <c r="C16" i="1"/>
  <c r="H16" i="1" s="1"/>
  <c r="I16" i="1"/>
  <c r="J16" i="1"/>
  <c r="C17" i="1"/>
  <c r="H17" i="1" s="1"/>
  <c r="I17" i="1"/>
  <c r="J17" i="1"/>
  <c r="C18" i="1"/>
  <c r="H18" i="1" s="1"/>
  <c r="I18" i="1"/>
  <c r="C19" i="1"/>
  <c r="H19" i="1" s="1"/>
  <c r="I19" i="1"/>
  <c r="J19" i="1"/>
  <c r="C20" i="1"/>
  <c r="H20" i="1" s="1"/>
  <c r="I20" i="1"/>
  <c r="J20" i="1"/>
  <c r="C21" i="1"/>
  <c r="H21" i="1" s="1"/>
  <c r="C22" i="1"/>
  <c r="H22" i="1" s="1"/>
  <c r="I22" i="1"/>
  <c r="J22" i="1"/>
  <c r="C23" i="1"/>
  <c r="H23" i="1" s="1"/>
  <c r="I23" i="1"/>
  <c r="J23" i="1"/>
  <c r="C24" i="1"/>
  <c r="H24" i="1" s="1"/>
  <c r="I24" i="1"/>
  <c r="C25" i="1"/>
  <c r="H25" i="1" s="1"/>
  <c r="I25" i="1"/>
  <c r="J25" i="1"/>
  <c r="C26" i="1"/>
  <c r="H26" i="1" s="1"/>
  <c r="I26" i="1"/>
  <c r="J26" i="1"/>
  <c r="C27" i="1"/>
  <c r="H27" i="1" s="1"/>
  <c r="I27" i="1"/>
  <c r="C28" i="1"/>
  <c r="H28" i="1" s="1"/>
  <c r="I28" i="1"/>
  <c r="J28" i="1"/>
  <c r="C29" i="1"/>
  <c r="H29" i="1" s="1"/>
  <c r="I29" i="1"/>
  <c r="J29" i="1"/>
  <c r="C30" i="1"/>
  <c r="H30" i="1" s="1"/>
  <c r="I30" i="1"/>
  <c r="I10" i="1"/>
  <c r="J10" i="1"/>
</calcChain>
</file>

<file path=xl/sharedStrings.xml><?xml version="1.0" encoding="utf-8"?>
<sst xmlns="http://schemas.openxmlformats.org/spreadsheetml/2006/main" count="63" uniqueCount="22">
  <si>
    <t>Sombra</t>
  </si>
  <si>
    <t>Batom</t>
  </si>
  <si>
    <t>Base</t>
  </si>
  <si>
    <t>A</t>
  </si>
  <si>
    <t>B</t>
  </si>
  <si>
    <t>C</t>
  </si>
  <si>
    <t>Fornecedor</t>
  </si>
  <si>
    <t>Custo fixo</t>
  </si>
  <si>
    <t>Valor de venda</t>
  </si>
  <si>
    <t>Quantidade</t>
  </si>
  <si>
    <t>Fornecedor "A"</t>
  </si>
  <si>
    <t>Fornecedor "B"</t>
  </si>
  <si>
    <t>Fornecedor "C"</t>
  </si>
  <si>
    <t>Custo variavel</t>
  </si>
  <si>
    <t>Sombra_C</t>
  </si>
  <si>
    <t>Batom_C</t>
  </si>
  <si>
    <t>Base_C</t>
  </si>
  <si>
    <t>Fornecedor A</t>
  </si>
  <si>
    <t>Custo</t>
  </si>
  <si>
    <t>Fornecedor B</t>
  </si>
  <si>
    <t>Fornecedor C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</si>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</sst>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44" fontId="2" fillId="0" borderId="0" xfId="1" applyFont="1" applyFill="1" applyBorder="1"/>
    <xf numFmtId="0" fontId="3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4" fontId="2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</cellXfs>
  <cellStyles count="2">
    <cellStyle name="Moeda" xfId="1" builtinId="4"/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  <dxf>
      <border outline="0">
        <left style="thin">
          <color indexed="64"/>
        </left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Fornecedor "A"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Planilha2!$B$9</c:f>
              <c:strCache>
                <c:ptCount val="1"/>
                <c:pt idx="0">
                  <c:v>Custo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Planilha2!$A$10:$A$30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Planilha2!$B$10:$B$30</c:f>
              <c:numCache>
                <c:formatCode>_("R$"* #,##0.00_);_("R$"* \(#,##0.00\);_("R$"* "-"??_);_(@_)</c:formatCode>
                <c:ptCount val="21"/>
                <c:pt idx="0">
                  <c:v>11500</c:v>
                </c:pt>
                <c:pt idx="1">
                  <c:v>11625</c:v>
                </c:pt>
                <c:pt idx="2">
                  <c:v>11750</c:v>
                </c:pt>
                <c:pt idx="3">
                  <c:v>11875</c:v>
                </c:pt>
                <c:pt idx="4">
                  <c:v>12000</c:v>
                </c:pt>
                <c:pt idx="5">
                  <c:v>12125</c:v>
                </c:pt>
                <c:pt idx="6">
                  <c:v>12250</c:v>
                </c:pt>
                <c:pt idx="7">
                  <c:v>12375</c:v>
                </c:pt>
                <c:pt idx="8">
                  <c:v>12500</c:v>
                </c:pt>
                <c:pt idx="9">
                  <c:v>12625</c:v>
                </c:pt>
                <c:pt idx="10">
                  <c:v>12750</c:v>
                </c:pt>
                <c:pt idx="11">
                  <c:v>12875</c:v>
                </c:pt>
                <c:pt idx="12">
                  <c:v>13000</c:v>
                </c:pt>
                <c:pt idx="13">
                  <c:v>13125</c:v>
                </c:pt>
                <c:pt idx="14">
                  <c:v>13250</c:v>
                </c:pt>
                <c:pt idx="15">
                  <c:v>13375</c:v>
                </c:pt>
                <c:pt idx="16">
                  <c:v>13500</c:v>
                </c:pt>
                <c:pt idx="17">
                  <c:v>13625</c:v>
                </c:pt>
                <c:pt idx="18">
                  <c:v>13750</c:v>
                </c:pt>
                <c:pt idx="19">
                  <c:v>13875</c:v>
                </c:pt>
                <c:pt idx="20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6-48B7-975E-277ABB3A63E0}"/>
            </c:ext>
          </c:extLst>
        </c:ser>
        <c:ser>
          <c:idx val="1"/>
          <c:order val="1"/>
          <c:tx>
            <c:strRef>
              <c:f>Planilha2!$C$9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Planilha2!$A$10:$A$30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Planilha2!$C$10:$C$30</c:f>
              <c:numCache>
                <c:formatCode>_("R$"* #,##0.00_);_("R$"* \(#,##0.00\);_("R$"* "-"??_);_(@_)</c:formatCode>
                <c:ptCount val="21"/>
                <c:pt idx="0">
                  <c:v>-11500</c:v>
                </c:pt>
                <c:pt idx="1">
                  <c:v>-10725</c:v>
                </c:pt>
                <c:pt idx="2">
                  <c:v>-9950</c:v>
                </c:pt>
                <c:pt idx="3">
                  <c:v>-9175</c:v>
                </c:pt>
                <c:pt idx="4">
                  <c:v>-8400</c:v>
                </c:pt>
                <c:pt idx="5">
                  <c:v>-7625</c:v>
                </c:pt>
                <c:pt idx="6">
                  <c:v>-6850</c:v>
                </c:pt>
                <c:pt idx="7">
                  <c:v>-6075</c:v>
                </c:pt>
                <c:pt idx="8">
                  <c:v>-5300</c:v>
                </c:pt>
                <c:pt idx="9">
                  <c:v>-4525</c:v>
                </c:pt>
                <c:pt idx="10">
                  <c:v>-3750</c:v>
                </c:pt>
                <c:pt idx="11">
                  <c:v>-2975</c:v>
                </c:pt>
                <c:pt idx="12">
                  <c:v>-2200</c:v>
                </c:pt>
                <c:pt idx="13">
                  <c:v>-1425</c:v>
                </c:pt>
                <c:pt idx="14">
                  <c:v>-650</c:v>
                </c:pt>
                <c:pt idx="15">
                  <c:v>125</c:v>
                </c:pt>
                <c:pt idx="16">
                  <c:v>900</c:v>
                </c:pt>
                <c:pt idx="17">
                  <c:v>1675</c:v>
                </c:pt>
                <c:pt idx="18">
                  <c:v>2450</c:v>
                </c:pt>
                <c:pt idx="19">
                  <c:v>3225</c:v>
                </c:pt>
                <c:pt idx="20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6-48B7-975E-277ABB3A6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6080863"/>
        <c:axId val="687224015"/>
      </c:lineChart>
      <c:catAx>
        <c:axId val="5860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7224015"/>
        <c:crosses val="autoZero"/>
        <c:auto val="1"/>
        <c:lblAlgn val="ctr"/>
        <c:lblOffset val="100"/>
        <c:noMultiLvlLbl val="0"/>
      </c:catAx>
      <c:valAx>
        <c:axId val="6872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08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Fornecedor "B"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Planilha2!$B$33</c:f>
              <c:strCache>
                <c:ptCount val="1"/>
                <c:pt idx="0">
                  <c:v>Custo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Planilha2!$A$34:$A$54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Planilha2!$B$34:$B$54</c:f>
              <c:numCache>
                <c:formatCode>_("R$"* #,##0.00_);_("R$"* \(#,##0.00\);_("R$"* "-"??_);_(@_)</c:formatCode>
                <c:ptCount val="21"/>
                <c:pt idx="0">
                  <c:v>11500</c:v>
                </c:pt>
                <c:pt idx="1">
                  <c:v>11600</c:v>
                </c:pt>
                <c:pt idx="2">
                  <c:v>11700</c:v>
                </c:pt>
                <c:pt idx="3">
                  <c:v>11800</c:v>
                </c:pt>
                <c:pt idx="4">
                  <c:v>11900</c:v>
                </c:pt>
                <c:pt idx="5">
                  <c:v>12000</c:v>
                </c:pt>
                <c:pt idx="6">
                  <c:v>12100</c:v>
                </c:pt>
                <c:pt idx="7">
                  <c:v>12200</c:v>
                </c:pt>
                <c:pt idx="8">
                  <c:v>12300</c:v>
                </c:pt>
                <c:pt idx="9">
                  <c:v>12400</c:v>
                </c:pt>
                <c:pt idx="10">
                  <c:v>12500</c:v>
                </c:pt>
                <c:pt idx="11">
                  <c:v>12600</c:v>
                </c:pt>
                <c:pt idx="12">
                  <c:v>12700</c:v>
                </c:pt>
                <c:pt idx="13">
                  <c:v>12800</c:v>
                </c:pt>
                <c:pt idx="14">
                  <c:v>12900</c:v>
                </c:pt>
                <c:pt idx="15">
                  <c:v>13000</c:v>
                </c:pt>
                <c:pt idx="16">
                  <c:v>13100</c:v>
                </c:pt>
                <c:pt idx="17">
                  <c:v>13200</c:v>
                </c:pt>
                <c:pt idx="18">
                  <c:v>13300</c:v>
                </c:pt>
                <c:pt idx="19">
                  <c:v>13400</c:v>
                </c:pt>
                <c:pt idx="20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C-4B97-B87D-9F1EA192F91C}"/>
            </c:ext>
          </c:extLst>
        </c:ser>
        <c:ser>
          <c:idx val="1"/>
          <c:order val="1"/>
          <c:tx>
            <c:strRef>
              <c:f>Planilha2!$C$33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Planilha2!$A$34:$A$54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Planilha2!$C$34:$C$54</c:f>
              <c:numCache>
                <c:formatCode>_("R$"* #,##0.00_);_("R$"* \(#,##0.00\);_("R$"* "-"??_);_(@_)</c:formatCode>
                <c:ptCount val="21"/>
                <c:pt idx="0">
                  <c:v>-11500</c:v>
                </c:pt>
                <c:pt idx="1">
                  <c:v>-10700</c:v>
                </c:pt>
                <c:pt idx="2">
                  <c:v>-9900</c:v>
                </c:pt>
                <c:pt idx="3">
                  <c:v>-9100</c:v>
                </c:pt>
                <c:pt idx="4">
                  <c:v>-8300</c:v>
                </c:pt>
                <c:pt idx="5">
                  <c:v>-7500</c:v>
                </c:pt>
                <c:pt idx="6">
                  <c:v>-6700</c:v>
                </c:pt>
                <c:pt idx="7">
                  <c:v>-5900</c:v>
                </c:pt>
                <c:pt idx="8">
                  <c:v>-5100</c:v>
                </c:pt>
                <c:pt idx="9">
                  <c:v>-4300</c:v>
                </c:pt>
                <c:pt idx="10">
                  <c:v>-3500</c:v>
                </c:pt>
                <c:pt idx="11">
                  <c:v>-2700</c:v>
                </c:pt>
                <c:pt idx="12">
                  <c:v>-1900</c:v>
                </c:pt>
                <c:pt idx="13">
                  <c:v>-1100</c:v>
                </c:pt>
                <c:pt idx="14">
                  <c:v>-300</c:v>
                </c:pt>
                <c:pt idx="15">
                  <c:v>500</c:v>
                </c:pt>
                <c:pt idx="16">
                  <c:v>1300</c:v>
                </c:pt>
                <c:pt idx="17">
                  <c:v>2100</c:v>
                </c:pt>
                <c:pt idx="18">
                  <c:v>2900</c:v>
                </c:pt>
                <c:pt idx="19">
                  <c:v>3700</c:v>
                </c:pt>
                <c:pt idx="20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C-4B97-B87D-9F1EA192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268159"/>
        <c:axId val="586716975"/>
      </c:lineChart>
      <c:catAx>
        <c:axId val="6882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716975"/>
        <c:crosses val="autoZero"/>
        <c:auto val="1"/>
        <c:lblAlgn val="ctr"/>
        <c:lblOffset val="100"/>
        <c:noMultiLvlLbl val="0"/>
      </c:catAx>
      <c:valAx>
        <c:axId val="5867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82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Fornecedor "C"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Planilha2!$B$57</c:f>
              <c:strCache>
                <c:ptCount val="1"/>
                <c:pt idx="0">
                  <c:v>Custo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Planilha2!$A$58:$A$78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Planilha2!$B$58:$B$78</c:f>
              <c:numCache>
                <c:formatCode>_("R$"* #,##0.00_);_("R$"* \(#,##0.00\);_("R$"* "-"??_);_(@_)</c:formatCode>
                <c:ptCount val="21"/>
                <c:pt idx="0">
                  <c:v>11500</c:v>
                </c:pt>
                <c:pt idx="1">
                  <c:v>11637.5</c:v>
                </c:pt>
                <c:pt idx="2">
                  <c:v>11775</c:v>
                </c:pt>
                <c:pt idx="3">
                  <c:v>11912.5</c:v>
                </c:pt>
                <c:pt idx="4">
                  <c:v>12050</c:v>
                </c:pt>
                <c:pt idx="5">
                  <c:v>12187.5</c:v>
                </c:pt>
                <c:pt idx="6">
                  <c:v>12325</c:v>
                </c:pt>
                <c:pt idx="7">
                  <c:v>12462.5</c:v>
                </c:pt>
                <c:pt idx="8">
                  <c:v>12600</c:v>
                </c:pt>
                <c:pt idx="9">
                  <c:v>12737.5</c:v>
                </c:pt>
                <c:pt idx="10">
                  <c:v>12875</c:v>
                </c:pt>
                <c:pt idx="11">
                  <c:v>13012.5</c:v>
                </c:pt>
                <c:pt idx="12">
                  <c:v>13150</c:v>
                </c:pt>
                <c:pt idx="13">
                  <c:v>13287.5</c:v>
                </c:pt>
                <c:pt idx="14">
                  <c:v>13425</c:v>
                </c:pt>
                <c:pt idx="15">
                  <c:v>13562.5</c:v>
                </c:pt>
                <c:pt idx="16">
                  <c:v>13700</c:v>
                </c:pt>
                <c:pt idx="17">
                  <c:v>13837.5</c:v>
                </c:pt>
                <c:pt idx="18">
                  <c:v>13975</c:v>
                </c:pt>
                <c:pt idx="19">
                  <c:v>14112.5</c:v>
                </c:pt>
                <c:pt idx="20">
                  <c:v>14250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D-4BF5-AC2B-769DA108C55F}"/>
            </c:ext>
          </c:extLst>
        </c:ser>
        <c:ser>
          <c:idx val="1"/>
          <c:order val="1"/>
          <c:tx>
            <c:strRef>
              <c:f>Planilha2!$C$57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Planilha2!$A$58:$A$78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Planilha2!$C$58:$C$78</c:f>
              <c:numCache>
                <c:formatCode>_("R$"* #,##0.00_);_("R$"* \(#,##0.00\);_("R$"* "-"??_);_(@_)</c:formatCode>
                <c:ptCount val="21"/>
                <c:pt idx="0">
                  <c:v>-11500</c:v>
                </c:pt>
                <c:pt idx="1">
                  <c:v>-10737.5</c:v>
                </c:pt>
                <c:pt idx="2">
                  <c:v>-9975</c:v>
                </c:pt>
                <c:pt idx="3">
                  <c:v>-9212.5</c:v>
                </c:pt>
                <c:pt idx="4">
                  <c:v>-8450</c:v>
                </c:pt>
                <c:pt idx="5">
                  <c:v>-7687.5</c:v>
                </c:pt>
                <c:pt idx="6">
                  <c:v>-6925</c:v>
                </c:pt>
                <c:pt idx="7">
                  <c:v>-6162.5</c:v>
                </c:pt>
                <c:pt idx="8">
                  <c:v>-5400</c:v>
                </c:pt>
                <c:pt idx="9">
                  <c:v>-4637.5</c:v>
                </c:pt>
                <c:pt idx="10">
                  <c:v>-3875</c:v>
                </c:pt>
                <c:pt idx="11">
                  <c:v>-3112.5</c:v>
                </c:pt>
                <c:pt idx="12">
                  <c:v>-2350</c:v>
                </c:pt>
                <c:pt idx="13">
                  <c:v>-1587.5</c:v>
                </c:pt>
                <c:pt idx="14">
                  <c:v>-825</c:v>
                </c:pt>
                <c:pt idx="15">
                  <c:v>-62.5</c:v>
                </c:pt>
                <c:pt idx="16">
                  <c:v>700</c:v>
                </c:pt>
                <c:pt idx="17">
                  <c:v>1462.5</c:v>
                </c:pt>
                <c:pt idx="18">
                  <c:v>2225</c:v>
                </c:pt>
                <c:pt idx="19">
                  <c:v>2987.5</c:v>
                </c:pt>
                <c:pt idx="20">
                  <c:v>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D-4BF5-AC2B-769DA108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652271"/>
        <c:axId val="691609551"/>
      </c:lineChart>
      <c:catAx>
        <c:axId val="58865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609551"/>
        <c:crosses val="autoZero"/>
        <c:auto val="1"/>
        <c:lblAlgn val="ctr"/>
        <c:lblOffset val="100"/>
        <c:noMultiLvlLbl val="0"/>
      </c:catAx>
      <c:valAx>
        <c:axId val="6916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65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7</xdr:row>
      <xdr:rowOff>185736</xdr:rowOff>
    </xdr:from>
    <xdr:to>
      <xdr:col>18</xdr:col>
      <xdr:colOff>247649</xdr:colOff>
      <xdr:row>29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CBC5CA-CFCB-4E05-B4D4-E2B085ADB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390525</xdr:colOff>
      <xdr:row>32</xdr:row>
      <xdr:rowOff>14286</xdr:rowOff>
    </xdr:from>
    <xdr:to>
      <xdr:col>18</xdr:col>
      <xdr:colOff>314325</xdr:colOff>
      <xdr:row>54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4A6B82-2181-42BD-BBA7-CE081692A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438150</xdr:colOff>
      <xdr:row>56</xdr:row>
      <xdr:rowOff>33336</xdr:rowOff>
    </xdr:from>
    <xdr:to>
      <xdr:col>18</xdr:col>
      <xdr:colOff>171450</xdr:colOff>
      <xdr:row>77</xdr:row>
      <xdr:rowOff>133349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2F44AB-4041-4BE9-8367-E20991312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264DC2-2477-413A-BABD-50263B31F293}" name="Tabela5" displayName="Tabela5" ref="G9:J30" totalsRowShown="0" headerRowDxfId="32" dataDxfId="33">
  <autoFilter ref="G9:J30" xr:uid="{593911C6-648F-4CBB-8717-73A7E00BE02A}"/>
  <tableColumns count="4">
    <tableColumn id="1" xr3:uid="{8C7913D5-999B-47FE-8E39-3BF93105359D}" name="Quantidade" dataDxfId="37"/>
    <tableColumn id="2" xr3:uid="{FA46FE6A-D350-496C-BC2F-3B088768B7A3}" name="Batom" dataDxfId="36">
      <calculatedColumnFormula>(L$3*$B10)-C10</calculatedColumnFormula>
    </tableColumn>
    <tableColumn id="3" xr3:uid="{B3CB0098-1858-4F87-8008-1553D9ACB0CA}" name="Sombra" dataDxfId="35">
      <calculatedColumnFormula>(M$3*$B10)-D10</calculatedColumnFormula>
    </tableColumn>
    <tableColumn id="4" xr3:uid="{21938D4F-A533-4F47-9A70-63F05B8FB001}" name="Base" dataDxfId="34">
      <calculatedColumnFormula>(N$3*$B10)-E10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D43D30-ECCB-46FA-B6BD-05A9EC09ED6C}" name="Tabela6" displayName="Tabela6" ref="G33:J54" totalsRowShown="0" headerRowDxfId="26" dataDxfId="27">
  <autoFilter ref="G33:J54" xr:uid="{952CE063-FFA4-4830-85F4-BD6152A86FA0}"/>
  <tableColumns count="4">
    <tableColumn id="1" xr3:uid="{F4FBFEAF-E729-4605-8A5C-C6D8B767C420}" name="Quantidade" dataDxfId="31"/>
    <tableColumn id="2" xr3:uid="{3CC85A74-626A-4B53-8636-A76ED4BD7677}" name="Batom" dataDxfId="30">
      <calculatedColumnFormula>(L$3*$B34)-C34</calculatedColumnFormula>
    </tableColumn>
    <tableColumn id="3" xr3:uid="{E3E9996F-19E3-4A6D-9560-A111E8F701C0}" name="Sombra" dataDxfId="29">
      <calculatedColumnFormula>(M$3*$B34)-D34</calculatedColumnFormula>
    </tableColumn>
    <tableColumn id="4" xr3:uid="{57C54A90-9A17-4CE8-A3D9-E4BBF5B44C5F}" name="Base" dataDxfId="28">
      <calculatedColumnFormula>(N$3*$B34)-E34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73FBEE-202C-41AE-9A14-E8EC9B8D46F0}" name="Tabela7" displayName="Tabela7" ref="G57:J78" totalsRowShown="0" headerRowDxfId="20" dataDxfId="21">
  <autoFilter ref="G57:J78" xr:uid="{1EF5FC41-93E5-4E4B-AB77-FD40B631DFE0}"/>
  <tableColumns count="4">
    <tableColumn id="1" xr3:uid="{746B8A7B-6FF1-49CD-BE75-C2FA6C38DB8E}" name="Quantidade" dataDxfId="25"/>
    <tableColumn id="2" xr3:uid="{E53954C1-CC41-4F66-AEC4-8B698C217836}" name="Batom" dataDxfId="24">
      <calculatedColumnFormula>(L$3*$B58)-C58</calculatedColumnFormula>
    </tableColumn>
    <tableColumn id="3" xr3:uid="{89B0042C-C20A-49B8-BECC-481C5C7FE119}" name="Sombra" dataDxfId="23">
      <calculatedColumnFormula>(M$3*$B58)-D58</calculatedColumnFormula>
    </tableColumn>
    <tableColumn id="4" xr3:uid="{076767FD-5F32-4967-AADB-03A923D66E7F}" name="Base" dataDxfId="22">
      <calculatedColumnFormula>(N$3*$B58)-E58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BFD6A3-5FE6-44FF-B473-B610345F9B1D}" name="Tabela8" displayName="Tabela8" ref="A9:C30" totalsRowShown="0" headerRowDxfId="11" dataDxfId="10" headerRowBorderDxfId="18" tableBorderDxfId="19" totalsRowBorderDxfId="17">
  <autoFilter ref="A9:C30" xr:uid="{13C6C3D1-77B5-495D-B79A-CCA0FC67F120}"/>
  <tableColumns count="3">
    <tableColumn id="1" xr3:uid="{1363852D-6DBF-4C30-A242-324B48563B5C}" name="Quantidade" dataDxfId="14"/>
    <tableColumn id="2" xr3:uid="{2AA2CDD8-D3FB-450C-9916-6836B48F8D81}" name="Custo" dataDxfId="13">
      <calculatedColumnFormula>(A10*$B$3)+$E$1</calculatedColumnFormula>
    </tableColumn>
    <tableColumn id="3" xr3:uid="{015DEFFC-56C5-4795-B611-67B4277D17E1}" name="lucro" dataDxfId="12">
      <calculatedColumnFormula>($E$3*A10)-B10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F0BFAA3-98F5-474E-9D45-59BB05E67AA5}" name="Tabela9" displayName="Tabela9" ref="A33:C54" totalsRowShown="0" headerRowDxfId="6" dataDxfId="5" tableBorderDxfId="16">
  <autoFilter ref="A33:C54" xr:uid="{6A2B8C1E-5259-40A2-9EF2-18842C4EEF8D}"/>
  <tableColumns count="3">
    <tableColumn id="1" xr3:uid="{91A5F8BA-4198-4663-BE26-A06257B69303}" name="Quantidade" dataDxfId="9"/>
    <tableColumn id="2" xr3:uid="{42FE1ED8-B576-4213-823D-CB8EDDBB9989}" name="Custo" dataDxfId="8">
      <calculatedColumnFormula>$E$1+($A34*$B$4)</calculatedColumnFormula>
    </tableColumn>
    <tableColumn id="3" xr3:uid="{56B57795-69A0-40C0-A8A3-9BF85946404F}" name="lucro" dataDxfId="7">
      <calculatedColumnFormula>($E$3*A34)-B34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AB41BB-EF5E-400F-AECC-B2B8D29ACA9D}" name="Tabela10" displayName="Tabela10" ref="A57:C78" totalsRowShown="0" headerRowDxfId="1" dataDxfId="0" tableBorderDxfId="15">
  <autoFilter ref="A57:C78" xr:uid="{D4DE318D-0835-4374-AFDC-1F1CAB3A8A50}"/>
  <tableColumns count="3">
    <tableColumn id="1" xr3:uid="{D33E94D4-7825-45C9-AE0F-53E83BEE22F2}" name="Quantidade" dataDxfId="4"/>
    <tableColumn id="2" xr3:uid="{930F02FF-3742-4A42-B784-ACF4C3E839AE}" name="Custo" dataDxfId="3">
      <calculatedColumnFormula>$E$1+($A58*B$5)</calculatedColumnFormula>
    </tableColumn>
    <tableColumn id="3" xr3:uid="{6AD0412B-604F-4E72-A0D6-4E71B8BA0BDD}" name="lucro" dataDxfId="2">
      <calculatedColumnFormula>($E$3*A58)-B58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2465-B512-4566-8E55-BCB7C9E6E1BA}">
  <dimension ref="B1:N78"/>
  <sheetViews>
    <sheetView showGridLines="0" topLeftCell="A49" workbookViewId="0">
      <selection activeCell="C58" sqref="C58"/>
    </sheetView>
  </sheetViews>
  <sheetFormatPr defaultRowHeight="15" x14ac:dyDescent="0.25"/>
  <cols>
    <col min="1" max="1" width="9.140625" style="1"/>
    <col min="2" max="2" width="16" style="1" bestFit="1" customWidth="1"/>
    <col min="3" max="5" width="13.28515625" style="1" bestFit="1" customWidth="1"/>
    <col min="6" max="6" width="13.28515625" style="1" customWidth="1"/>
    <col min="7" max="7" width="13.5703125" style="1" customWidth="1"/>
    <col min="8" max="8" width="13.28515625" style="1" bestFit="1" customWidth="1"/>
    <col min="9" max="10" width="14.28515625" style="1" bestFit="1" customWidth="1"/>
    <col min="11" max="11" width="8.140625" style="1" customWidth="1"/>
    <col min="12" max="12" width="13.28515625" style="1" bestFit="1" customWidth="1"/>
    <col min="13" max="14" width="9.5703125" style="1" bestFit="1" customWidth="1"/>
    <col min="15" max="16384" width="9.140625" style="1"/>
  </cols>
  <sheetData>
    <row r="1" spans="2:14" x14ac:dyDescent="0.25">
      <c r="B1" s="1" t="s">
        <v>13</v>
      </c>
    </row>
    <row r="2" spans="2:14" x14ac:dyDescent="0.25">
      <c r="B2" s="1" t="s">
        <v>6</v>
      </c>
      <c r="C2" s="1" t="s">
        <v>1</v>
      </c>
      <c r="D2" s="1" t="s">
        <v>0</v>
      </c>
      <c r="E2" s="1" t="s">
        <v>2</v>
      </c>
      <c r="H2" s="1" t="s">
        <v>7</v>
      </c>
      <c r="I2" s="2">
        <v>11500</v>
      </c>
      <c r="K2" s="1" t="s">
        <v>8</v>
      </c>
      <c r="L2" s="1" t="s">
        <v>1</v>
      </c>
      <c r="M2" s="1" t="s">
        <v>0</v>
      </c>
      <c r="N2" s="1" t="s">
        <v>2</v>
      </c>
    </row>
    <row r="3" spans="2:14" x14ac:dyDescent="0.25">
      <c r="B3" s="1" t="s">
        <v>3</v>
      </c>
      <c r="C3" s="2">
        <v>2.5</v>
      </c>
      <c r="D3" s="2">
        <v>1.5</v>
      </c>
      <c r="E3" s="2">
        <v>3</v>
      </c>
      <c r="F3" s="2"/>
      <c r="L3" s="2">
        <v>18</v>
      </c>
      <c r="M3" s="2">
        <v>65</v>
      </c>
      <c r="N3" s="2">
        <v>50</v>
      </c>
    </row>
    <row r="4" spans="2:14" x14ac:dyDescent="0.25">
      <c r="B4" s="1" t="s">
        <v>4</v>
      </c>
      <c r="C4" s="2">
        <v>2</v>
      </c>
      <c r="D4" s="2">
        <v>1.25</v>
      </c>
      <c r="E4" s="2">
        <v>2.75</v>
      </c>
      <c r="F4" s="2"/>
    </row>
    <row r="5" spans="2:14" x14ac:dyDescent="0.25">
      <c r="B5" s="1" t="s">
        <v>5</v>
      </c>
      <c r="C5" s="2">
        <v>2.75</v>
      </c>
      <c r="D5" s="2">
        <v>1.75</v>
      </c>
      <c r="E5" s="2">
        <v>3.25</v>
      </c>
      <c r="F5" s="2"/>
    </row>
    <row r="6" spans="2:14" x14ac:dyDescent="0.25">
      <c r="C6" s="2"/>
      <c r="D6" s="2"/>
      <c r="E6" s="2"/>
      <c r="F6" s="2"/>
      <c r="L6" s="2"/>
    </row>
    <row r="7" spans="2:14" x14ac:dyDescent="0.25">
      <c r="C7" s="2"/>
      <c r="D7" s="2"/>
      <c r="E7" s="2"/>
      <c r="F7" s="2"/>
      <c r="L7" s="2"/>
    </row>
    <row r="8" spans="2:14" x14ac:dyDescent="0.25">
      <c r="C8" s="3" t="s">
        <v>10</v>
      </c>
      <c r="D8" s="3"/>
      <c r="E8" s="3"/>
      <c r="F8" s="3"/>
      <c r="H8" s="3" t="s">
        <v>10</v>
      </c>
      <c r="I8" s="3"/>
      <c r="J8" s="3"/>
      <c r="L8" s="3"/>
      <c r="M8" s="3"/>
      <c r="N8" s="3"/>
    </row>
    <row r="9" spans="2:14" s="4" customFormat="1" x14ac:dyDescent="0.25">
      <c r="B9" s="5" t="s">
        <v>9</v>
      </c>
      <c r="C9" s="4" t="s">
        <v>1</v>
      </c>
      <c r="D9" s="4" t="s">
        <v>0</v>
      </c>
      <c r="E9" s="4" t="s">
        <v>2</v>
      </c>
      <c r="G9" s="5" t="s">
        <v>9</v>
      </c>
      <c r="H9" s="4" t="s">
        <v>1</v>
      </c>
      <c r="I9" s="4" t="s">
        <v>0</v>
      </c>
      <c r="J9" s="4" t="s">
        <v>2</v>
      </c>
    </row>
    <row r="10" spans="2:14" x14ac:dyDescent="0.25">
      <c r="B10" s="4">
        <v>0</v>
      </c>
      <c r="C10" s="6">
        <f>$I$2+($B10*C$3)</f>
        <v>11500</v>
      </c>
      <c r="D10" s="6">
        <f>$I$2+($B10*D$3)</f>
        <v>11500</v>
      </c>
      <c r="E10" s="6">
        <f>$I$2+($B10*E$3)</f>
        <v>11500</v>
      </c>
      <c r="F10" s="6"/>
      <c r="G10" s="4">
        <v>0</v>
      </c>
      <c r="H10" s="6">
        <f>(L$3*$B10)-C10</f>
        <v>-11500</v>
      </c>
      <c r="I10" s="6">
        <f>(M$3*$B10)-D10</f>
        <v>-11500</v>
      </c>
      <c r="J10" s="6">
        <f>(N$3*$B10)-E10</f>
        <v>-11500</v>
      </c>
      <c r="L10" s="6"/>
    </row>
    <row r="11" spans="2:14" x14ac:dyDescent="0.25">
      <c r="B11" s="4">
        <v>50</v>
      </c>
      <c r="C11" s="6">
        <f>$I$2+($B11*C$3)</f>
        <v>11625</v>
      </c>
      <c r="D11" s="6">
        <f>$I$2+($B11*D$3)</f>
        <v>11575</v>
      </c>
      <c r="E11" s="6">
        <f>$I$2+($B11*E$3)</f>
        <v>11650</v>
      </c>
      <c r="F11" s="6"/>
      <c r="G11" s="4">
        <v>50</v>
      </c>
      <c r="H11" s="6">
        <f>(L$3*$B11)-C11</f>
        <v>-10725</v>
      </c>
      <c r="I11" s="6">
        <f>(M$3*$B11)-D11</f>
        <v>-8325</v>
      </c>
      <c r="J11" s="6">
        <f>(N$3*$B11)-E11</f>
        <v>-9150</v>
      </c>
    </row>
    <row r="12" spans="2:14" x14ac:dyDescent="0.25">
      <c r="B12" s="4">
        <v>100</v>
      </c>
      <c r="C12" s="6">
        <f>$I$2+($B12*C$3)</f>
        <v>11750</v>
      </c>
      <c r="D12" s="6">
        <f>$I$2+($B12*D$3)</f>
        <v>11650</v>
      </c>
      <c r="E12" s="6">
        <f>$I$2+($B12*E$3)</f>
        <v>11800</v>
      </c>
      <c r="F12" s="6"/>
      <c r="G12" s="4">
        <v>100</v>
      </c>
      <c r="H12" s="6">
        <f>(L$3*$B12)-C12</f>
        <v>-9950</v>
      </c>
      <c r="I12" s="6">
        <f>(M$3*$B12)-D12</f>
        <v>-5150</v>
      </c>
      <c r="J12" s="6">
        <f>(N$3*$B12)-E12</f>
        <v>-6800</v>
      </c>
    </row>
    <row r="13" spans="2:14" x14ac:dyDescent="0.25">
      <c r="B13" s="4">
        <v>150</v>
      </c>
      <c r="C13" s="6">
        <f>$I$2+($B13*C$3)</f>
        <v>11875</v>
      </c>
      <c r="D13" s="6">
        <f>$I$2+($B13*D$3)</f>
        <v>11725</v>
      </c>
      <c r="E13" s="6">
        <f>$I$2+($B13*E$3)</f>
        <v>11950</v>
      </c>
      <c r="F13" s="6"/>
      <c r="G13" s="4">
        <v>150</v>
      </c>
      <c r="H13" s="6">
        <f>(L$3*$B13)-C13</f>
        <v>-9175</v>
      </c>
      <c r="I13" s="6">
        <f>(M$3*$B13)-D13</f>
        <v>-1975</v>
      </c>
      <c r="J13" s="6">
        <f>(N$3*$B13)-E13</f>
        <v>-4450</v>
      </c>
    </row>
    <row r="14" spans="2:14" x14ac:dyDescent="0.25">
      <c r="B14" s="4">
        <v>200</v>
      </c>
      <c r="C14" s="6">
        <f>$I$2+($B14*C$3)</f>
        <v>12000</v>
      </c>
      <c r="D14" s="6">
        <f>$I$2+($B14*D$3)</f>
        <v>11800</v>
      </c>
      <c r="E14" s="6">
        <f>$I$2+($B14*E$3)</f>
        <v>12100</v>
      </c>
      <c r="F14" s="6"/>
      <c r="G14" s="4">
        <v>200</v>
      </c>
      <c r="H14" s="6">
        <f>(L$3*$B14)-C14</f>
        <v>-8400</v>
      </c>
      <c r="I14" s="6">
        <f>(M$3*$B14)-D14</f>
        <v>1200</v>
      </c>
      <c r="J14" s="6">
        <f>(N$3*$B14)-E14</f>
        <v>-2100</v>
      </c>
    </row>
    <row r="15" spans="2:14" x14ac:dyDescent="0.25">
      <c r="B15" s="4">
        <v>250</v>
      </c>
      <c r="C15" s="6">
        <f>$I$2+($B15*C$3)</f>
        <v>12125</v>
      </c>
      <c r="D15" s="6">
        <f>$I$2+($B15*D$3)</f>
        <v>11875</v>
      </c>
      <c r="E15" s="6">
        <f>$I$2+($B15*E$3)</f>
        <v>12250</v>
      </c>
      <c r="F15" s="6"/>
      <c r="G15" s="4">
        <v>250</v>
      </c>
      <c r="H15" s="6">
        <f>(L$3*$B15)-C15</f>
        <v>-7625</v>
      </c>
      <c r="I15" s="6">
        <f>(M$3*$B15)-D15</f>
        <v>4375</v>
      </c>
      <c r="J15" s="6">
        <f>(N$3*$B15)-E15</f>
        <v>250</v>
      </c>
    </row>
    <row r="16" spans="2:14" x14ac:dyDescent="0.25">
      <c r="B16" s="4">
        <v>300</v>
      </c>
      <c r="C16" s="6">
        <f>$I$2+($B16*C$3)</f>
        <v>12250</v>
      </c>
      <c r="D16" s="6">
        <f>$I$2+($B16*D$3)</f>
        <v>11950</v>
      </c>
      <c r="E16" s="6">
        <f>$I$2+($B16*E$3)</f>
        <v>12400</v>
      </c>
      <c r="F16" s="6"/>
      <c r="G16" s="4">
        <v>300</v>
      </c>
      <c r="H16" s="6">
        <f>(L$3*$B16)-C16</f>
        <v>-6850</v>
      </c>
      <c r="I16" s="6">
        <f>(M$3*$B16)-D16</f>
        <v>7550</v>
      </c>
      <c r="J16" s="6">
        <f>(N$3*$B16)-E16</f>
        <v>2600</v>
      </c>
    </row>
    <row r="17" spans="2:14" x14ac:dyDescent="0.25">
      <c r="B17" s="4">
        <v>350</v>
      </c>
      <c r="C17" s="6">
        <f>$I$2+($B17*C$3)</f>
        <v>12375</v>
      </c>
      <c r="D17" s="6">
        <f>$I$2+($B17*D$3)</f>
        <v>12025</v>
      </c>
      <c r="E17" s="6">
        <f>$I$2+($B17*E$3)</f>
        <v>12550</v>
      </c>
      <c r="F17" s="6"/>
      <c r="G17" s="4">
        <v>350</v>
      </c>
      <c r="H17" s="6">
        <f>(L$3*$B17)-C17</f>
        <v>-6075</v>
      </c>
      <c r="I17" s="6">
        <f>(M$3*$B17)-D17</f>
        <v>10725</v>
      </c>
      <c r="J17" s="6">
        <f>(N$3*$B17)-E17</f>
        <v>4950</v>
      </c>
    </row>
    <row r="18" spans="2:14" x14ac:dyDescent="0.25">
      <c r="B18" s="4">
        <v>400</v>
      </c>
      <c r="C18" s="6">
        <f>$I$2+($B18*C$3)</f>
        <v>12500</v>
      </c>
      <c r="D18" s="6">
        <f>$I$2+($B18*D$3)</f>
        <v>12100</v>
      </c>
      <c r="E18" s="6">
        <f>$I$2+($B18*E$3)</f>
        <v>12700</v>
      </c>
      <c r="F18" s="6"/>
      <c r="G18" s="4">
        <v>400</v>
      </c>
      <c r="H18" s="6">
        <f>(L$3*$B18)-C18</f>
        <v>-5300</v>
      </c>
      <c r="I18" s="6">
        <f>(M$3*$B18)-D18</f>
        <v>13900</v>
      </c>
      <c r="J18" s="6">
        <f>(N$3*$B18)-E18</f>
        <v>7300</v>
      </c>
    </row>
    <row r="19" spans="2:14" x14ac:dyDescent="0.25">
      <c r="B19" s="4">
        <v>450</v>
      </c>
      <c r="C19" s="6">
        <f>$I$2+($B19*C$3)</f>
        <v>12625</v>
      </c>
      <c r="D19" s="6">
        <f>$I$2+($B19*D$3)</f>
        <v>12175</v>
      </c>
      <c r="E19" s="6">
        <f>$I$2+($B19*E$3)</f>
        <v>12850</v>
      </c>
      <c r="F19" s="6"/>
      <c r="G19" s="4">
        <v>450</v>
      </c>
      <c r="H19" s="6">
        <f>(L$3*$B19)-C19</f>
        <v>-4525</v>
      </c>
      <c r="I19" s="6">
        <f>(M$3*$B19)-D19</f>
        <v>17075</v>
      </c>
      <c r="J19" s="6">
        <f>(N$3*$B19)-E19</f>
        <v>9650</v>
      </c>
    </row>
    <row r="20" spans="2:14" x14ac:dyDescent="0.25">
      <c r="B20" s="4">
        <v>500</v>
      </c>
      <c r="C20" s="6">
        <f>$I$2+($B20*C$3)</f>
        <v>12750</v>
      </c>
      <c r="D20" s="6">
        <f>$I$2+($B20*D$3)</f>
        <v>12250</v>
      </c>
      <c r="E20" s="6">
        <f>$I$2+($B20*E$3)</f>
        <v>13000</v>
      </c>
      <c r="F20" s="6"/>
      <c r="G20" s="4">
        <v>500</v>
      </c>
      <c r="H20" s="6">
        <f>(L$3*$B20)-C20</f>
        <v>-3750</v>
      </c>
      <c r="I20" s="6">
        <f>(M$3*$B20)-D20</f>
        <v>20250</v>
      </c>
      <c r="J20" s="6">
        <f>(N$3*$B20)-E20</f>
        <v>12000</v>
      </c>
    </row>
    <row r="21" spans="2:14" x14ac:dyDescent="0.25">
      <c r="B21" s="4">
        <v>550</v>
      </c>
      <c r="C21" s="6">
        <f>$I$2+($B21*C$3)</f>
        <v>12875</v>
      </c>
      <c r="D21" s="6">
        <f>$I$2+($B21*D$3)</f>
        <v>12325</v>
      </c>
      <c r="E21" s="6">
        <f>$I$2+($B21*E$3)</f>
        <v>13150</v>
      </c>
      <c r="F21" s="6"/>
      <c r="G21" s="4">
        <v>550</v>
      </c>
      <c r="H21" s="6">
        <f>(L$3*$B21)-C21</f>
        <v>-2975</v>
      </c>
      <c r="I21" s="6">
        <f>(M$3*$B21)-D21</f>
        <v>23425</v>
      </c>
      <c r="J21" s="6">
        <f>(N$3*$B21)-E21</f>
        <v>14350</v>
      </c>
    </row>
    <row r="22" spans="2:14" x14ac:dyDescent="0.25">
      <c r="B22" s="4">
        <v>600</v>
      </c>
      <c r="C22" s="6">
        <f>$I$2+($B22*C$3)</f>
        <v>13000</v>
      </c>
      <c r="D22" s="6">
        <f>$I$2+($B22*D$3)</f>
        <v>12400</v>
      </c>
      <c r="E22" s="6">
        <f>$I$2+($B22*E$3)</f>
        <v>13300</v>
      </c>
      <c r="F22" s="6"/>
      <c r="G22" s="4">
        <v>600</v>
      </c>
      <c r="H22" s="6">
        <f>(L$3*$B22)-C22</f>
        <v>-2200</v>
      </c>
      <c r="I22" s="6">
        <f>(M$3*$B22)-D22</f>
        <v>26600</v>
      </c>
      <c r="J22" s="6">
        <f>(N$3*$B22)-E22</f>
        <v>16700</v>
      </c>
    </row>
    <row r="23" spans="2:14" x14ac:dyDescent="0.25">
      <c r="B23" s="4">
        <v>650</v>
      </c>
      <c r="C23" s="6">
        <f>$I$2+($B23*C$3)</f>
        <v>13125</v>
      </c>
      <c r="D23" s="6">
        <f>$I$2+($B23*D$3)</f>
        <v>12475</v>
      </c>
      <c r="E23" s="6">
        <f>$I$2+($B23*E$3)</f>
        <v>13450</v>
      </c>
      <c r="F23" s="6"/>
      <c r="G23" s="4">
        <v>650</v>
      </c>
      <c r="H23" s="6">
        <f>(L$3*$B23)-C23</f>
        <v>-1425</v>
      </c>
      <c r="I23" s="6">
        <f>(M$3*$B23)-D23</f>
        <v>29775</v>
      </c>
      <c r="J23" s="6">
        <f>(N$3*$B23)-E23</f>
        <v>19050</v>
      </c>
    </row>
    <row r="24" spans="2:14" x14ac:dyDescent="0.25">
      <c r="B24" s="4">
        <v>700</v>
      </c>
      <c r="C24" s="6">
        <f>$I$2+($B24*C$3)</f>
        <v>13250</v>
      </c>
      <c r="D24" s="6">
        <f>$I$2+($B24*D$3)</f>
        <v>12550</v>
      </c>
      <c r="E24" s="6">
        <f>$I$2+($B24*E$3)</f>
        <v>13600</v>
      </c>
      <c r="F24" s="6"/>
      <c r="G24" s="4">
        <v>700</v>
      </c>
      <c r="H24" s="6">
        <f>(L$3*$B24)-C24</f>
        <v>-650</v>
      </c>
      <c r="I24" s="6">
        <f>(M$3*$B24)-D24</f>
        <v>32950</v>
      </c>
      <c r="J24" s="6">
        <f>(N$3*$B24)-E24</f>
        <v>21400</v>
      </c>
    </row>
    <row r="25" spans="2:14" x14ac:dyDescent="0.25">
      <c r="B25" s="4">
        <v>750</v>
      </c>
      <c r="C25" s="6">
        <f>$I$2+($B25*C$3)</f>
        <v>13375</v>
      </c>
      <c r="D25" s="6">
        <f>$I$2+($B25*D$3)</f>
        <v>12625</v>
      </c>
      <c r="E25" s="6">
        <f>$I$2+($B25*E$3)</f>
        <v>13750</v>
      </c>
      <c r="F25" s="6"/>
      <c r="G25" s="4">
        <v>750</v>
      </c>
      <c r="H25" s="6">
        <f>(L$3*$B25)-C25</f>
        <v>125</v>
      </c>
      <c r="I25" s="6">
        <f>(M$3*$B25)-D25</f>
        <v>36125</v>
      </c>
      <c r="J25" s="6">
        <f>(N$3*$B25)-E25</f>
        <v>23750</v>
      </c>
    </row>
    <row r="26" spans="2:14" x14ac:dyDescent="0.25">
      <c r="B26" s="4">
        <v>800</v>
      </c>
      <c r="C26" s="6">
        <f>$I$2+($B26*C$3)</f>
        <v>13500</v>
      </c>
      <c r="D26" s="6">
        <f>$I$2+($B26*D$3)</f>
        <v>12700</v>
      </c>
      <c r="E26" s="6">
        <f>$I$2+($B26*E$3)</f>
        <v>13900</v>
      </c>
      <c r="F26" s="6"/>
      <c r="G26" s="4">
        <v>800</v>
      </c>
      <c r="H26" s="6">
        <f>(L$3*$B26)-C26</f>
        <v>900</v>
      </c>
      <c r="I26" s="6">
        <f>(M$3*$B26)-D26</f>
        <v>39300</v>
      </c>
      <c r="J26" s="6">
        <f>(N$3*$B26)-E26</f>
        <v>26100</v>
      </c>
    </row>
    <row r="27" spans="2:14" x14ac:dyDescent="0.25">
      <c r="B27" s="4">
        <v>850</v>
      </c>
      <c r="C27" s="6">
        <f>$I$2+($B27*C$3)</f>
        <v>13625</v>
      </c>
      <c r="D27" s="6">
        <f>$I$2+($B27*D$3)</f>
        <v>12775</v>
      </c>
      <c r="E27" s="6">
        <f>$I$2+($B27*E$3)</f>
        <v>14050</v>
      </c>
      <c r="F27" s="6"/>
      <c r="G27" s="4">
        <v>850</v>
      </c>
      <c r="H27" s="6">
        <f>(L$3*$B27)-C27</f>
        <v>1675</v>
      </c>
      <c r="I27" s="6">
        <f>(M$3*$B27)-D27</f>
        <v>42475</v>
      </c>
      <c r="J27" s="6">
        <f>(N$3*$B27)-E27</f>
        <v>28450</v>
      </c>
    </row>
    <row r="28" spans="2:14" x14ac:dyDescent="0.25">
      <c r="B28" s="4">
        <v>900</v>
      </c>
      <c r="C28" s="6">
        <f>$I$2+($B28*C$3)</f>
        <v>13750</v>
      </c>
      <c r="D28" s="6">
        <f>$I$2+($B28*D$3)</f>
        <v>12850</v>
      </c>
      <c r="E28" s="6">
        <f>$I$2+($B28*E$3)</f>
        <v>14200</v>
      </c>
      <c r="F28" s="6"/>
      <c r="G28" s="4">
        <v>900</v>
      </c>
      <c r="H28" s="6">
        <f>(L$3*$B28)-C28</f>
        <v>2450</v>
      </c>
      <c r="I28" s="6">
        <f>(M$3*$B28)-D28</f>
        <v>45650</v>
      </c>
      <c r="J28" s="6">
        <f>(N$3*$B28)-E28</f>
        <v>30800</v>
      </c>
    </row>
    <row r="29" spans="2:14" x14ac:dyDescent="0.25">
      <c r="B29" s="4">
        <v>950</v>
      </c>
      <c r="C29" s="6">
        <f>$I$2+($B29*C$3)</f>
        <v>13875</v>
      </c>
      <c r="D29" s="6">
        <f>$I$2+($B29*D$3)</f>
        <v>12925</v>
      </c>
      <c r="E29" s="6">
        <f>$I$2+($B29*E$3)</f>
        <v>14350</v>
      </c>
      <c r="F29" s="6"/>
      <c r="G29" s="4">
        <v>950</v>
      </c>
      <c r="H29" s="6">
        <f>(L$3*$B29)-C29</f>
        <v>3225</v>
      </c>
      <c r="I29" s="6">
        <f>(M$3*$B29)-D29</f>
        <v>48825</v>
      </c>
      <c r="J29" s="6">
        <f>(N$3*$B29)-E29</f>
        <v>33150</v>
      </c>
    </row>
    <row r="30" spans="2:14" x14ac:dyDescent="0.25">
      <c r="B30" s="4">
        <v>1000</v>
      </c>
      <c r="C30" s="6">
        <f>$I$2+($B30*C$3)</f>
        <v>14000</v>
      </c>
      <c r="D30" s="6">
        <f>$I$2+($B30*D$3)</f>
        <v>13000</v>
      </c>
      <c r="E30" s="6">
        <f>$I$2+($B30*E$3)</f>
        <v>14500</v>
      </c>
      <c r="F30" s="6"/>
      <c r="G30" s="4">
        <v>1000</v>
      </c>
      <c r="H30" s="6">
        <f>(L$3*$B30)-C30</f>
        <v>4000</v>
      </c>
      <c r="I30" s="6">
        <f>(M$3*$B30)-D30</f>
        <v>52000</v>
      </c>
      <c r="J30" s="6">
        <f>(N$3*$B30)-E30</f>
        <v>35500</v>
      </c>
    </row>
    <row r="32" spans="2:14" x14ac:dyDescent="0.25">
      <c r="C32" s="3" t="s">
        <v>11</v>
      </c>
      <c r="D32" s="3"/>
      <c r="E32" s="3"/>
      <c r="F32" s="3"/>
      <c r="H32" s="3" t="s">
        <v>11</v>
      </c>
      <c r="I32" s="3"/>
      <c r="J32" s="3"/>
      <c r="L32" s="3"/>
      <c r="M32" s="3"/>
      <c r="N32" s="3"/>
    </row>
    <row r="33" spans="2:14" x14ac:dyDescent="0.25">
      <c r="B33" s="5" t="s">
        <v>9</v>
      </c>
      <c r="C33" s="4" t="s">
        <v>1</v>
      </c>
      <c r="D33" s="4" t="s">
        <v>0</v>
      </c>
      <c r="E33" s="4" t="s">
        <v>2</v>
      </c>
      <c r="F33" s="4"/>
      <c r="G33" s="5" t="s">
        <v>9</v>
      </c>
      <c r="H33" s="4" t="s">
        <v>1</v>
      </c>
      <c r="I33" s="4" t="s">
        <v>0</v>
      </c>
      <c r="J33" s="4" t="s">
        <v>2</v>
      </c>
      <c r="L33" s="4"/>
      <c r="M33" s="4"/>
      <c r="N33" s="4"/>
    </row>
    <row r="34" spans="2:14" x14ac:dyDescent="0.25">
      <c r="B34" s="4">
        <v>0</v>
      </c>
      <c r="C34" s="6">
        <f>$I$2+($B34*C$4)</f>
        <v>11500</v>
      </c>
      <c r="D34" s="6">
        <f>$I$2+($B34*D$4)</f>
        <v>11500</v>
      </c>
      <c r="E34" s="6">
        <f>$I$2+($B34*E$4)</f>
        <v>11500</v>
      </c>
      <c r="F34" s="6"/>
      <c r="G34" s="4">
        <v>0</v>
      </c>
      <c r="H34" s="6">
        <f>(L$3*$B34)-C34</f>
        <v>-11500</v>
      </c>
      <c r="I34" s="6">
        <f>(M$3*$B34)-D34</f>
        <v>-11500</v>
      </c>
      <c r="J34" s="6">
        <f>(N$3*$B34)-E34</f>
        <v>-11500</v>
      </c>
    </row>
    <row r="35" spans="2:14" x14ac:dyDescent="0.25">
      <c r="B35" s="4">
        <v>50</v>
      </c>
      <c r="C35" s="6">
        <f>$I$2+($B35*C$4)</f>
        <v>11600</v>
      </c>
      <c r="D35" s="6">
        <f>$I$2+($B35*D$4)</f>
        <v>11562.5</v>
      </c>
      <c r="E35" s="6">
        <f>$I$2+($B35*E$4)</f>
        <v>11637.5</v>
      </c>
      <c r="F35" s="6"/>
      <c r="G35" s="4">
        <v>50</v>
      </c>
      <c r="H35" s="6">
        <f>(L$3*$B35)-C35</f>
        <v>-10700</v>
      </c>
      <c r="I35" s="6">
        <f>(M$3*$B35)-D35</f>
        <v>-8312.5</v>
      </c>
      <c r="J35" s="6">
        <f>(N$3*$B35)-E35</f>
        <v>-9137.5</v>
      </c>
    </row>
    <row r="36" spans="2:14" x14ac:dyDescent="0.25">
      <c r="B36" s="4">
        <v>100</v>
      </c>
      <c r="C36" s="6">
        <f>$I$2+($B36*C$4)</f>
        <v>11700</v>
      </c>
      <c r="D36" s="6">
        <f>$I$2+($B36*D$4)</f>
        <v>11625</v>
      </c>
      <c r="E36" s="6">
        <f>$I$2+($B36*E$4)</f>
        <v>11775</v>
      </c>
      <c r="F36" s="6"/>
      <c r="G36" s="4">
        <v>100</v>
      </c>
      <c r="H36" s="6">
        <f>(L$3*$B36)-C36</f>
        <v>-9900</v>
      </c>
      <c r="I36" s="6">
        <f>(M$3*$B36)-D36</f>
        <v>-5125</v>
      </c>
      <c r="J36" s="6">
        <f>(N$3*$B36)-E36</f>
        <v>-6775</v>
      </c>
    </row>
    <row r="37" spans="2:14" x14ac:dyDescent="0.25">
      <c r="B37" s="4">
        <v>150</v>
      </c>
      <c r="C37" s="6">
        <f>$I$2+($B37*C$4)</f>
        <v>11800</v>
      </c>
      <c r="D37" s="6">
        <f>$I$2+($B37*D$4)</f>
        <v>11687.5</v>
      </c>
      <c r="E37" s="6">
        <f>$I$2+($B37*E$4)</f>
        <v>11912.5</v>
      </c>
      <c r="F37" s="6"/>
      <c r="G37" s="4">
        <v>150</v>
      </c>
      <c r="H37" s="6">
        <f>(L$3*$B37)-C37</f>
        <v>-9100</v>
      </c>
      <c r="I37" s="6">
        <f>(M$3*$B37)-D37</f>
        <v>-1937.5</v>
      </c>
      <c r="J37" s="6">
        <f>(N$3*$B37)-E37</f>
        <v>-4412.5</v>
      </c>
    </row>
    <row r="38" spans="2:14" x14ac:dyDescent="0.25">
      <c r="B38" s="4">
        <v>200</v>
      </c>
      <c r="C38" s="6">
        <f>$I$2+($B38*C$4)</f>
        <v>11900</v>
      </c>
      <c r="D38" s="6">
        <f>$I$2+($B38*D$4)</f>
        <v>11750</v>
      </c>
      <c r="E38" s="6">
        <f>$I$2+($B38*E$4)</f>
        <v>12050</v>
      </c>
      <c r="F38" s="6"/>
      <c r="G38" s="4">
        <v>200</v>
      </c>
      <c r="H38" s="6">
        <f>(L$3*$B38)-C38</f>
        <v>-8300</v>
      </c>
      <c r="I38" s="6">
        <f>(M$3*$B38)-D38</f>
        <v>1250</v>
      </c>
      <c r="J38" s="6">
        <f>(N$3*$B38)-E38</f>
        <v>-2050</v>
      </c>
    </row>
    <row r="39" spans="2:14" x14ac:dyDescent="0.25">
      <c r="B39" s="4">
        <v>250</v>
      </c>
      <c r="C39" s="6">
        <f>$I$2+($B39*C$4)</f>
        <v>12000</v>
      </c>
      <c r="D39" s="6">
        <f>$I$2+($B39*D$4)</f>
        <v>11812.5</v>
      </c>
      <c r="E39" s="6">
        <f>$I$2+($B39*E$4)</f>
        <v>12187.5</v>
      </c>
      <c r="F39" s="6"/>
      <c r="G39" s="4">
        <v>250</v>
      </c>
      <c r="H39" s="6">
        <f>(L$3*$B39)-C39</f>
        <v>-7500</v>
      </c>
      <c r="I39" s="6">
        <f>(M$3*$B39)-D39</f>
        <v>4437.5</v>
      </c>
      <c r="J39" s="6">
        <f>(N$3*$B39)-E39</f>
        <v>312.5</v>
      </c>
    </row>
    <row r="40" spans="2:14" x14ac:dyDescent="0.25">
      <c r="B40" s="4">
        <v>300</v>
      </c>
      <c r="C40" s="6">
        <f>$I$2+($B40*C$4)</f>
        <v>12100</v>
      </c>
      <c r="D40" s="6">
        <f>$I$2+($B40*D$4)</f>
        <v>11875</v>
      </c>
      <c r="E40" s="6">
        <f>$I$2+($B40*E$4)</f>
        <v>12325</v>
      </c>
      <c r="F40" s="6"/>
      <c r="G40" s="4">
        <v>300</v>
      </c>
      <c r="H40" s="6">
        <f>(L$3*$B40)-C40</f>
        <v>-6700</v>
      </c>
      <c r="I40" s="6">
        <f>(M$3*$B40)-D40</f>
        <v>7625</v>
      </c>
      <c r="J40" s="6">
        <f>(N$3*$B40)-E40</f>
        <v>2675</v>
      </c>
    </row>
    <row r="41" spans="2:14" x14ac:dyDescent="0.25">
      <c r="B41" s="4">
        <v>350</v>
      </c>
      <c r="C41" s="6">
        <f>$I$2+($B41*C$4)</f>
        <v>12200</v>
      </c>
      <c r="D41" s="6">
        <f>$I$2+($B41*D$4)</f>
        <v>11937.5</v>
      </c>
      <c r="E41" s="6">
        <f>$I$2+($B41*E$4)</f>
        <v>12462.5</v>
      </c>
      <c r="F41" s="6"/>
      <c r="G41" s="4">
        <v>350</v>
      </c>
      <c r="H41" s="6">
        <f>(L$3*$B41)-C41</f>
        <v>-5900</v>
      </c>
      <c r="I41" s="6">
        <f>(M$3*$B41)-D41</f>
        <v>10812.5</v>
      </c>
      <c r="J41" s="6">
        <f>(N$3*$B41)-E41</f>
        <v>5037.5</v>
      </c>
    </row>
    <row r="42" spans="2:14" x14ac:dyDescent="0.25">
      <c r="B42" s="4">
        <v>400</v>
      </c>
      <c r="C42" s="6">
        <f>$I$2+($B42*C$4)</f>
        <v>12300</v>
      </c>
      <c r="D42" s="6">
        <f>$I$2+($B42*D$4)</f>
        <v>12000</v>
      </c>
      <c r="E42" s="6">
        <f>$I$2+($B42*E$4)</f>
        <v>12600</v>
      </c>
      <c r="F42" s="6"/>
      <c r="G42" s="4">
        <v>400</v>
      </c>
      <c r="H42" s="6">
        <f>(L$3*$B42)-C42</f>
        <v>-5100</v>
      </c>
      <c r="I42" s="6">
        <f>(M$3*$B42)-D42</f>
        <v>14000</v>
      </c>
      <c r="J42" s="6">
        <f>(N$3*$B42)-E42</f>
        <v>7400</v>
      </c>
    </row>
    <row r="43" spans="2:14" x14ac:dyDescent="0.25">
      <c r="B43" s="4">
        <v>450</v>
      </c>
      <c r="C43" s="6">
        <f>$I$2+($B43*C$4)</f>
        <v>12400</v>
      </c>
      <c r="D43" s="6">
        <f>$I$2+($B43*D$4)</f>
        <v>12062.5</v>
      </c>
      <c r="E43" s="6">
        <f>$I$2+($B43*E$4)</f>
        <v>12737.5</v>
      </c>
      <c r="F43" s="6"/>
      <c r="G43" s="4">
        <v>450</v>
      </c>
      <c r="H43" s="6">
        <f>(L$3*$B43)-C43</f>
        <v>-4300</v>
      </c>
      <c r="I43" s="6">
        <f>(M$3*$B43)-D43</f>
        <v>17187.5</v>
      </c>
      <c r="J43" s="6">
        <f>(N$3*$B43)-E43</f>
        <v>9762.5</v>
      </c>
    </row>
    <row r="44" spans="2:14" x14ac:dyDescent="0.25">
      <c r="B44" s="4">
        <v>500</v>
      </c>
      <c r="C44" s="6">
        <f>$I$2+($B44*C$4)</f>
        <v>12500</v>
      </c>
      <c r="D44" s="6">
        <f>$I$2+($B44*D$4)</f>
        <v>12125</v>
      </c>
      <c r="E44" s="6">
        <f>$I$2+($B44*E$4)</f>
        <v>12875</v>
      </c>
      <c r="F44" s="6"/>
      <c r="G44" s="4">
        <v>500</v>
      </c>
      <c r="H44" s="6">
        <f>(L$3*$B44)-C44</f>
        <v>-3500</v>
      </c>
      <c r="I44" s="6">
        <f>(M$3*$B44)-D44</f>
        <v>20375</v>
      </c>
      <c r="J44" s="6">
        <f>(N$3*$B44)-E44</f>
        <v>12125</v>
      </c>
    </row>
    <row r="45" spans="2:14" x14ac:dyDescent="0.25">
      <c r="B45" s="4">
        <v>550</v>
      </c>
      <c r="C45" s="6">
        <f>$I$2+($B45*C$4)</f>
        <v>12600</v>
      </c>
      <c r="D45" s="6">
        <f>$I$2+($B45*D$4)</f>
        <v>12187.5</v>
      </c>
      <c r="E45" s="6">
        <f>$I$2+($B45*E$4)</f>
        <v>13012.5</v>
      </c>
      <c r="F45" s="6"/>
      <c r="G45" s="4">
        <v>550</v>
      </c>
      <c r="H45" s="6">
        <f>(L$3*$B45)-C45</f>
        <v>-2700</v>
      </c>
      <c r="I45" s="6">
        <f>(M$3*$B45)-D45</f>
        <v>23562.5</v>
      </c>
      <c r="J45" s="6">
        <f>(N$3*$B45)-E45</f>
        <v>14487.5</v>
      </c>
    </row>
    <row r="46" spans="2:14" x14ac:dyDescent="0.25">
      <c r="B46" s="4">
        <v>600</v>
      </c>
      <c r="C46" s="6">
        <f>$I$2+($B46*C$4)</f>
        <v>12700</v>
      </c>
      <c r="D46" s="6">
        <f>$I$2+($B46*D$4)</f>
        <v>12250</v>
      </c>
      <c r="E46" s="6">
        <f>$I$2+($B46*E$4)</f>
        <v>13150</v>
      </c>
      <c r="F46" s="6"/>
      <c r="G46" s="4">
        <v>600</v>
      </c>
      <c r="H46" s="6">
        <f>(L$3*$B46)-C46</f>
        <v>-1900</v>
      </c>
      <c r="I46" s="6">
        <f>(M$3*$B46)-D46</f>
        <v>26750</v>
      </c>
      <c r="J46" s="6">
        <f>(N$3*$B46)-E46</f>
        <v>16850</v>
      </c>
    </row>
    <row r="47" spans="2:14" x14ac:dyDescent="0.25">
      <c r="B47" s="4">
        <v>650</v>
      </c>
      <c r="C47" s="6">
        <f>$I$2+($B47*C$4)</f>
        <v>12800</v>
      </c>
      <c r="D47" s="6">
        <f>$I$2+($B47*D$4)</f>
        <v>12312.5</v>
      </c>
      <c r="E47" s="6">
        <f>$I$2+($B47*E$4)</f>
        <v>13287.5</v>
      </c>
      <c r="F47" s="6"/>
      <c r="G47" s="4">
        <v>650</v>
      </c>
      <c r="H47" s="6">
        <f>(L$3*$B47)-C47</f>
        <v>-1100</v>
      </c>
      <c r="I47" s="6">
        <f>(M$3*$B47)-D47</f>
        <v>29937.5</v>
      </c>
      <c r="J47" s="6">
        <f>(N$3*$B47)-E47</f>
        <v>19212.5</v>
      </c>
    </row>
    <row r="48" spans="2:14" x14ac:dyDescent="0.25">
      <c r="B48" s="4">
        <v>700</v>
      </c>
      <c r="C48" s="6">
        <f>$I$2+($B48*C$4)</f>
        <v>12900</v>
      </c>
      <c r="D48" s="6">
        <f>$I$2+($B48*D$4)</f>
        <v>12375</v>
      </c>
      <c r="E48" s="6">
        <f>$I$2+($B48*E$4)</f>
        <v>13425</v>
      </c>
      <c r="F48" s="6"/>
      <c r="G48" s="4">
        <v>700</v>
      </c>
      <c r="H48" s="6">
        <f>(L$3*$B48)-C48</f>
        <v>-300</v>
      </c>
      <c r="I48" s="6">
        <f>(M$3*$B48)-D48</f>
        <v>33125</v>
      </c>
      <c r="J48" s="6">
        <f>(N$3*$B48)-E48</f>
        <v>21575</v>
      </c>
    </row>
    <row r="49" spans="2:14" x14ac:dyDescent="0.25">
      <c r="B49" s="4">
        <v>750</v>
      </c>
      <c r="C49" s="6">
        <f>$I$2+($B49*C$4)</f>
        <v>13000</v>
      </c>
      <c r="D49" s="6">
        <f>$I$2+($B49*D$4)</f>
        <v>12437.5</v>
      </c>
      <c r="E49" s="6">
        <f>$I$2+($B49*E$4)</f>
        <v>13562.5</v>
      </c>
      <c r="F49" s="6"/>
      <c r="G49" s="4">
        <v>750</v>
      </c>
      <c r="H49" s="6">
        <f>(L$3*$B49)-C49</f>
        <v>500</v>
      </c>
      <c r="I49" s="6">
        <f>(M$3*$B49)-D49</f>
        <v>36312.5</v>
      </c>
      <c r="J49" s="6">
        <f>(N$3*$B49)-E49</f>
        <v>23937.5</v>
      </c>
    </row>
    <row r="50" spans="2:14" x14ac:dyDescent="0.25">
      <c r="B50" s="4">
        <v>800</v>
      </c>
      <c r="C50" s="6">
        <f>$I$2+($B50*C$4)</f>
        <v>13100</v>
      </c>
      <c r="D50" s="6">
        <f>$I$2+($B50*D$4)</f>
        <v>12500</v>
      </c>
      <c r="E50" s="6">
        <f>$I$2+($B50*E$4)</f>
        <v>13700</v>
      </c>
      <c r="F50" s="6"/>
      <c r="G50" s="4">
        <v>800</v>
      </c>
      <c r="H50" s="6">
        <f>(L$3*$B50)-C50</f>
        <v>1300</v>
      </c>
      <c r="I50" s="6">
        <f>(M$3*$B50)-D50</f>
        <v>39500</v>
      </c>
      <c r="J50" s="6">
        <f>(N$3*$B50)-E50</f>
        <v>26300</v>
      </c>
    </row>
    <row r="51" spans="2:14" x14ac:dyDescent="0.25">
      <c r="B51" s="4">
        <v>850</v>
      </c>
      <c r="C51" s="6">
        <f>$I$2+($B51*C$4)</f>
        <v>13200</v>
      </c>
      <c r="D51" s="6">
        <f>$I$2+($B51*D$4)</f>
        <v>12562.5</v>
      </c>
      <c r="E51" s="6">
        <f>$I$2+($B51*E$4)</f>
        <v>13837.5</v>
      </c>
      <c r="F51" s="6"/>
      <c r="G51" s="4">
        <v>850</v>
      </c>
      <c r="H51" s="6">
        <f>(L$3*$B51)-C51</f>
        <v>2100</v>
      </c>
      <c r="I51" s="6">
        <f>(M$3*$B51)-D51</f>
        <v>42687.5</v>
      </c>
      <c r="J51" s="6">
        <f>(N$3*$B51)-E51</f>
        <v>28662.5</v>
      </c>
    </row>
    <row r="52" spans="2:14" x14ac:dyDescent="0.25">
      <c r="B52" s="4">
        <v>900</v>
      </c>
      <c r="C52" s="6">
        <f>$I$2+($B52*C$4)</f>
        <v>13300</v>
      </c>
      <c r="D52" s="6">
        <f>$I$2+($B52*D$4)</f>
        <v>12625</v>
      </c>
      <c r="E52" s="6">
        <f>$I$2+($B52*E$4)</f>
        <v>13975</v>
      </c>
      <c r="F52" s="6"/>
      <c r="G52" s="4">
        <v>900</v>
      </c>
      <c r="H52" s="6">
        <f>(L$3*$B52)-C52</f>
        <v>2900</v>
      </c>
      <c r="I52" s="6">
        <f>(M$3*$B52)-D52</f>
        <v>45875</v>
      </c>
      <c r="J52" s="6">
        <f>(N$3*$B52)-E52</f>
        <v>31025</v>
      </c>
    </row>
    <row r="53" spans="2:14" x14ac:dyDescent="0.25">
      <c r="B53" s="4">
        <v>950</v>
      </c>
      <c r="C53" s="6">
        <f>$I$2+($B53*C$4)</f>
        <v>13400</v>
      </c>
      <c r="D53" s="6">
        <f>$I$2+($B53*D$4)</f>
        <v>12687.5</v>
      </c>
      <c r="E53" s="6">
        <f>$I$2+($B53*E$4)</f>
        <v>14112.5</v>
      </c>
      <c r="F53" s="6"/>
      <c r="G53" s="4">
        <v>950</v>
      </c>
      <c r="H53" s="6">
        <f>(L$3*$B53)-C53</f>
        <v>3700</v>
      </c>
      <c r="I53" s="6">
        <f>(M$3*$B53)-D53</f>
        <v>49062.5</v>
      </c>
      <c r="J53" s="6">
        <f>(N$3*$B53)-E53</f>
        <v>33387.5</v>
      </c>
    </row>
    <row r="54" spans="2:14" x14ac:dyDescent="0.25">
      <c r="B54" s="4">
        <v>1000</v>
      </c>
      <c r="C54" s="6">
        <f>$I$2+($B54*C$4)</f>
        <v>13500</v>
      </c>
      <c r="D54" s="6">
        <f>$I$2+($B54*D$4)</f>
        <v>12750</v>
      </c>
      <c r="E54" s="6">
        <f>$I$2+($B54*E$4)</f>
        <v>14250</v>
      </c>
      <c r="F54" s="6"/>
      <c r="G54" s="4">
        <v>1000</v>
      </c>
      <c r="H54" s="6">
        <f>(L$3*$B54)-C54</f>
        <v>4500</v>
      </c>
      <c r="I54" s="6">
        <f>(M$3*$B54)-D54</f>
        <v>52250</v>
      </c>
      <c r="J54" s="6">
        <f>(N$3*$B54)-E54</f>
        <v>35750</v>
      </c>
    </row>
    <row r="56" spans="2:14" x14ac:dyDescent="0.25">
      <c r="C56" s="3" t="s">
        <v>12</v>
      </c>
      <c r="D56" s="3"/>
      <c r="E56" s="3"/>
      <c r="F56" s="3"/>
      <c r="H56" s="3" t="s">
        <v>12</v>
      </c>
      <c r="I56" s="3"/>
      <c r="J56" s="3"/>
      <c r="L56" s="3"/>
      <c r="M56" s="3"/>
      <c r="N56" s="3"/>
    </row>
    <row r="57" spans="2:14" x14ac:dyDescent="0.25">
      <c r="B57" s="5" t="s">
        <v>9</v>
      </c>
      <c r="C57" s="4" t="s">
        <v>15</v>
      </c>
      <c r="D57" s="4" t="s">
        <v>14</v>
      </c>
      <c r="E57" s="4" t="s">
        <v>16</v>
      </c>
      <c r="F57" s="4"/>
      <c r="G57" s="5" t="s">
        <v>9</v>
      </c>
      <c r="H57" s="4" t="s">
        <v>1</v>
      </c>
      <c r="I57" s="4" t="s">
        <v>0</v>
      </c>
      <c r="J57" s="4" t="s">
        <v>2</v>
      </c>
      <c r="L57" s="4"/>
      <c r="M57" s="4"/>
      <c r="N57" s="4"/>
    </row>
    <row r="58" spans="2:14" x14ac:dyDescent="0.25">
      <c r="B58" s="4">
        <v>0</v>
      </c>
      <c r="C58" s="6">
        <f>$I$2+($B58*C$5)</f>
        <v>11500</v>
      </c>
      <c r="D58" s="6">
        <f>$I$2+($B58*D$5)</f>
        <v>11500</v>
      </c>
      <c r="E58" s="6">
        <f>$I$2+($B58*E$5)</f>
        <v>11500</v>
      </c>
      <c r="F58" s="6"/>
      <c r="G58" s="4">
        <v>0</v>
      </c>
      <c r="H58" s="6">
        <f>(L$3*$B58)-C58</f>
        <v>-11500</v>
      </c>
      <c r="I58" s="6">
        <f>(M$3*$B58)-D58</f>
        <v>-11500</v>
      </c>
      <c r="J58" s="6">
        <f>(N$3*$B58)-E58</f>
        <v>-11500</v>
      </c>
    </row>
    <row r="59" spans="2:14" x14ac:dyDescent="0.25">
      <c r="B59" s="4">
        <v>50</v>
      </c>
      <c r="C59" s="6">
        <f>$I$2+($B59*C$5)</f>
        <v>11637.5</v>
      </c>
      <c r="D59" s="6">
        <f>$I$2+($B59*D$5)</f>
        <v>11587.5</v>
      </c>
      <c r="E59" s="6">
        <f>$I$2+($B59*E$5)</f>
        <v>11662.5</v>
      </c>
      <c r="F59" s="6"/>
      <c r="G59" s="4">
        <v>50</v>
      </c>
      <c r="H59" s="6">
        <f>(L$3*$B59)-C59</f>
        <v>-10737.5</v>
      </c>
      <c r="I59" s="6">
        <f>(M$3*$B59)-D59</f>
        <v>-8337.5</v>
      </c>
      <c r="J59" s="6">
        <f>(N$3*$B59)-E59</f>
        <v>-9162.5</v>
      </c>
    </row>
    <row r="60" spans="2:14" x14ac:dyDescent="0.25">
      <c r="B60" s="4">
        <v>100</v>
      </c>
      <c r="C60" s="6">
        <f>$I$2+($B60*C$5)</f>
        <v>11775</v>
      </c>
      <c r="D60" s="6">
        <f>$I$2+($B60*D$5)</f>
        <v>11675</v>
      </c>
      <c r="E60" s="6">
        <f>$I$2+($B60*E$5)</f>
        <v>11825</v>
      </c>
      <c r="F60" s="6"/>
      <c r="G60" s="4">
        <v>100</v>
      </c>
      <c r="H60" s="6">
        <f>(L$3*$B60)-C60</f>
        <v>-9975</v>
      </c>
      <c r="I60" s="6">
        <f>(M$3*$B60)-D60</f>
        <v>-5175</v>
      </c>
      <c r="J60" s="6">
        <f>(N$3*$B60)-E60</f>
        <v>-6825</v>
      </c>
    </row>
    <row r="61" spans="2:14" x14ac:dyDescent="0.25">
      <c r="B61" s="4">
        <v>150</v>
      </c>
      <c r="C61" s="6">
        <f>$I$2+($B61*C$5)</f>
        <v>11912.5</v>
      </c>
      <c r="D61" s="6">
        <f>$I$2+($B61*D$5)</f>
        <v>11762.5</v>
      </c>
      <c r="E61" s="6">
        <f>$I$2+($B61*E$5)</f>
        <v>11987.5</v>
      </c>
      <c r="F61" s="6"/>
      <c r="G61" s="4">
        <v>150</v>
      </c>
      <c r="H61" s="6">
        <f>(L$3*$B61)-C61</f>
        <v>-9212.5</v>
      </c>
      <c r="I61" s="6">
        <f>(M$3*$B61)-D61</f>
        <v>-2012.5</v>
      </c>
      <c r="J61" s="6">
        <f>(N$3*$B61)-E61</f>
        <v>-4487.5</v>
      </c>
    </row>
    <row r="62" spans="2:14" x14ac:dyDescent="0.25">
      <c r="B62" s="4">
        <v>200</v>
      </c>
      <c r="C62" s="6">
        <f>$I$2+($B62*C$5)</f>
        <v>12050</v>
      </c>
      <c r="D62" s="6">
        <f>$I$2+($B62*D$5)</f>
        <v>11850</v>
      </c>
      <c r="E62" s="6">
        <f>$I$2+($B62*E$5)</f>
        <v>12150</v>
      </c>
      <c r="F62" s="6"/>
      <c r="G62" s="4">
        <v>200</v>
      </c>
      <c r="H62" s="6">
        <f>(L$3*$B62)-C62</f>
        <v>-8450</v>
      </c>
      <c r="I62" s="6">
        <f>(M$3*$B62)-D62</f>
        <v>1150</v>
      </c>
      <c r="J62" s="6">
        <f>(N$3*$B62)-E62</f>
        <v>-2150</v>
      </c>
    </row>
    <row r="63" spans="2:14" x14ac:dyDescent="0.25">
      <c r="B63" s="4">
        <v>250</v>
      </c>
      <c r="C63" s="6">
        <f>$I$2+($B63*C$5)</f>
        <v>12187.5</v>
      </c>
      <c r="D63" s="6">
        <f>$I$2+($B63*D$5)</f>
        <v>11937.5</v>
      </c>
      <c r="E63" s="6">
        <f>$I$2+($B63*E$5)</f>
        <v>12312.5</v>
      </c>
      <c r="F63" s="6"/>
      <c r="G63" s="4">
        <v>250</v>
      </c>
      <c r="H63" s="6">
        <f>(L$3*$B63)-C63</f>
        <v>-7687.5</v>
      </c>
      <c r="I63" s="6">
        <f>(M$3*$B63)-D63</f>
        <v>4312.5</v>
      </c>
      <c r="J63" s="6">
        <f>(N$3*$B63)-E63</f>
        <v>187.5</v>
      </c>
    </row>
    <row r="64" spans="2:14" x14ac:dyDescent="0.25">
      <c r="B64" s="4">
        <v>300</v>
      </c>
      <c r="C64" s="6">
        <f>$I$2+($B64*C$5)</f>
        <v>12325</v>
      </c>
      <c r="D64" s="6">
        <f>$I$2+($B64*D$5)</f>
        <v>12025</v>
      </c>
      <c r="E64" s="6">
        <f>$I$2+($B64*E$5)</f>
        <v>12475</v>
      </c>
      <c r="F64" s="6"/>
      <c r="G64" s="4">
        <v>300</v>
      </c>
      <c r="H64" s="6">
        <f>(L$3*$B64)-C64</f>
        <v>-6925</v>
      </c>
      <c r="I64" s="6">
        <f>(M$3*$B64)-D64</f>
        <v>7475</v>
      </c>
      <c r="J64" s="6">
        <f>(N$3*$B64)-E64</f>
        <v>2525</v>
      </c>
    </row>
    <row r="65" spans="2:10" x14ac:dyDescent="0.25">
      <c r="B65" s="4">
        <v>350</v>
      </c>
      <c r="C65" s="6">
        <f>$I$2+($B65*C$5)</f>
        <v>12462.5</v>
      </c>
      <c r="D65" s="6">
        <f>$I$2+($B65*D$5)</f>
        <v>12112.5</v>
      </c>
      <c r="E65" s="6">
        <f>$I$2+($B65*E$5)</f>
        <v>12637.5</v>
      </c>
      <c r="F65" s="6"/>
      <c r="G65" s="4">
        <v>350</v>
      </c>
      <c r="H65" s="6">
        <f>(L$3*$B65)-C65</f>
        <v>-6162.5</v>
      </c>
      <c r="I65" s="6">
        <f>(M$3*$B65)-D65</f>
        <v>10637.5</v>
      </c>
      <c r="J65" s="6">
        <f>(N$3*$B65)-E65</f>
        <v>4862.5</v>
      </c>
    </row>
    <row r="66" spans="2:10" x14ac:dyDescent="0.25">
      <c r="B66" s="4">
        <v>400</v>
      </c>
      <c r="C66" s="6">
        <f>$I$2+($B66*C$5)</f>
        <v>12600</v>
      </c>
      <c r="D66" s="6">
        <f>$I$2+($B66*D$5)</f>
        <v>12200</v>
      </c>
      <c r="E66" s="6">
        <f>$I$2+($B66*E$5)</f>
        <v>12800</v>
      </c>
      <c r="F66" s="6"/>
      <c r="G66" s="4">
        <v>400</v>
      </c>
      <c r="H66" s="6">
        <f>(L$3*$B66)-C66</f>
        <v>-5400</v>
      </c>
      <c r="I66" s="6">
        <f>(M$3*$B66)-D66</f>
        <v>13800</v>
      </c>
      <c r="J66" s="6">
        <f>(N$3*$B66)-E66</f>
        <v>7200</v>
      </c>
    </row>
    <row r="67" spans="2:10" x14ac:dyDescent="0.25">
      <c r="B67" s="4">
        <v>450</v>
      </c>
      <c r="C67" s="6">
        <f>$I$2+($B67*C$5)</f>
        <v>12737.5</v>
      </c>
      <c r="D67" s="6">
        <f>$I$2+($B67*D$5)</f>
        <v>12287.5</v>
      </c>
      <c r="E67" s="6">
        <f>$I$2+($B67*E$5)</f>
        <v>12962.5</v>
      </c>
      <c r="F67" s="6"/>
      <c r="G67" s="4">
        <v>450</v>
      </c>
      <c r="H67" s="6">
        <f>(L$3*$B67)-C67</f>
        <v>-4637.5</v>
      </c>
      <c r="I67" s="6">
        <f>(M$3*$B67)-D67</f>
        <v>16962.5</v>
      </c>
      <c r="J67" s="6">
        <f>(N$3*$B67)-E67</f>
        <v>9537.5</v>
      </c>
    </row>
    <row r="68" spans="2:10" x14ac:dyDescent="0.25">
      <c r="B68" s="4">
        <v>500</v>
      </c>
      <c r="C68" s="6">
        <f>$I$2+($B68*C$5)</f>
        <v>12875</v>
      </c>
      <c r="D68" s="6">
        <f>$I$2+($B68*D$5)</f>
        <v>12375</v>
      </c>
      <c r="E68" s="6">
        <f>$I$2+($B68*E$5)</f>
        <v>13125</v>
      </c>
      <c r="F68" s="6"/>
      <c r="G68" s="4">
        <v>500</v>
      </c>
      <c r="H68" s="6">
        <f>(L$3*$B68)-C68</f>
        <v>-3875</v>
      </c>
      <c r="I68" s="6">
        <f>(M$3*$B68)-D68</f>
        <v>20125</v>
      </c>
      <c r="J68" s="6">
        <f>(N$3*$B68)-E68</f>
        <v>11875</v>
      </c>
    </row>
    <row r="69" spans="2:10" x14ac:dyDescent="0.25">
      <c r="B69" s="4">
        <v>550</v>
      </c>
      <c r="C69" s="6">
        <f>$I$2+($B69*C$5)</f>
        <v>13012.5</v>
      </c>
      <c r="D69" s="6">
        <f>$I$2+($B69*D$5)</f>
        <v>12462.5</v>
      </c>
      <c r="E69" s="6">
        <f>$I$2+($B69*E$5)</f>
        <v>13287.5</v>
      </c>
      <c r="F69" s="6"/>
      <c r="G69" s="4">
        <v>550</v>
      </c>
      <c r="H69" s="6">
        <f>(L$3*$B69)-C69</f>
        <v>-3112.5</v>
      </c>
      <c r="I69" s="6">
        <f>(M$3*$B69)-D69</f>
        <v>23287.5</v>
      </c>
      <c r="J69" s="6">
        <f>(N$3*$B69)-E69</f>
        <v>14212.5</v>
      </c>
    </row>
    <row r="70" spans="2:10" x14ac:dyDescent="0.25">
      <c r="B70" s="4">
        <v>600</v>
      </c>
      <c r="C70" s="6">
        <f>$I$2+($B70*C$5)</f>
        <v>13150</v>
      </c>
      <c r="D70" s="6">
        <f>$I$2+($B70*D$5)</f>
        <v>12550</v>
      </c>
      <c r="E70" s="6">
        <f>$I$2+($B70*E$5)</f>
        <v>13450</v>
      </c>
      <c r="F70" s="6"/>
      <c r="G70" s="4">
        <v>600</v>
      </c>
      <c r="H70" s="6">
        <f>(L$3*$B70)-C70</f>
        <v>-2350</v>
      </c>
      <c r="I70" s="6">
        <f>(M$3*$B70)-D70</f>
        <v>26450</v>
      </c>
      <c r="J70" s="6">
        <f>(N$3*$B70)-E70</f>
        <v>16550</v>
      </c>
    </row>
    <row r="71" spans="2:10" x14ac:dyDescent="0.25">
      <c r="B71" s="4">
        <v>650</v>
      </c>
      <c r="C71" s="6">
        <f>$I$2+($B71*C$5)</f>
        <v>13287.5</v>
      </c>
      <c r="D71" s="6">
        <f>$I$2+($B71*D$5)</f>
        <v>12637.5</v>
      </c>
      <c r="E71" s="6">
        <f>$I$2+($B71*E$5)</f>
        <v>13612.5</v>
      </c>
      <c r="F71" s="6"/>
      <c r="G71" s="4">
        <v>650</v>
      </c>
      <c r="H71" s="6">
        <f>(L$3*$B71)-C71</f>
        <v>-1587.5</v>
      </c>
      <c r="I71" s="6">
        <f>(M$3*$B71)-D71</f>
        <v>29612.5</v>
      </c>
      <c r="J71" s="6">
        <f>(N$3*$B71)-E71</f>
        <v>18887.5</v>
      </c>
    </row>
    <row r="72" spans="2:10" x14ac:dyDescent="0.25">
      <c r="B72" s="4">
        <v>700</v>
      </c>
      <c r="C72" s="6">
        <f>$I$2+($B72*C$5)</f>
        <v>13425</v>
      </c>
      <c r="D72" s="6">
        <f>$I$2+($B72*D$5)</f>
        <v>12725</v>
      </c>
      <c r="E72" s="6">
        <f>$I$2+($B72*E$5)</f>
        <v>13775</v>
      </c>
      <c r="F72" s="6"/>
      <c r="G72" s="4">
        <v>700</v>
      </c>
      <c r="H72" s="6">
        <f>(L$3*$B72)-C72</f>
        <v>-825</v>
      </c>
      <c r="I72" s="6">
        <f>(M$3*$B72)-D72</f>
        <v>32775</v>
      </c>
      <c r="J72" s="6">
        <f>(N$3*$B72)-E72</f>
        <v>21225</v>
      </c>
    </row>
    <row r="73" spans="2:10" x14ac:dyDescent="0.25">
      <c r="B73" s="4">
        <v>750</v>
      </c>
      <c r="C73" s="6">
        <f>$I$2+($B73*C$5)</f>
        <v>13562.5</v>
      </c>
      <c r="D73" s="6">
        <f>$I$2+($B73*D$5)</f>
        <v>12812.5</v>
      </c>
      <c r="E73" s="6">
        <f>$I$2+($B73*E$5)</f>
        <v>13937.5</v>
      </c>
      <c r="F73" s="6"/>
      <c r="G73" s="4">
        <v>750</v>
      </c>
      <c r="H73" s="6">
        <f>(L$3*$B73)-C73</f>
        <v>-62.5</v>
      </c>
      <c r="I73" s="6">
        <f>(M$3*$B73)-D73</f>
        <v>35937.5</v>
      </c>
      <c r="J73" s="6">
        <f>(N$3*$B73)-E73</f>
        <v>23562.5</v>
      </c>
    </row>
    <row r="74" spans="2:10" x14ac:dyDescent="0.25">
      <c r="B74" s="4">
        <v>800</v>
      </c>
      <c r="C74" s="6">
        <f>$I$2+($B74*C$5)</f>
        <v>13700</v>
      </c>
      <c r="D74" s="6">
        <f>$I$2+($B74*D$5)</f>
        <v>12900</v>
      </c>
      <c r="E74" s="6">
        <f>$I$2+($B74*E$5)</f>
        <v>14100</v>
      </c>
      <c r="F74" s="6"/>
      <c r="G74" s="4">
        <v>800</v>
      </c>
      <c r="H74" s="6">
        <f>(L$3*$B74)-C74</f>
        <v>700</v>
      </c>
      <c r="I74" s="6">
        <f>(M$3*$B74)-D74</f>
        <v>39100</v>
      </c>
      <c r="J74" s="6">
        <f>(N$3*$B74)-E74</f>
        <v>25900</v>
      </c>
    </row>
    <row r="75" spans="2:10" x14ac:dyDescent="0.25">
      <c r="B75" s="4">
        <v>850</v>
      </c>
      <c r="C75" s="6">
        <f>$I$2+($B75*C$5)</f>
        <v>13837.5</v>
      </c>
      <c r="D75" s="6">
        <f>$I$2+($B75*D$5)</f>
        <v>12987.5</v>
      </c>
      <c r="E75" s="6">
        <f>$I$2+($B75*E$5)</f>
        <v>14262.5</v>
      </c>
      <c r="F75" s="6"/>
      <c r="G75" s="4">
        <v>850</v>
      </c>
      <c r="H75" s="6">
        <f>(L$3*$B75)-C75</f>
        <v>1462.5</v>
      </c>
      <c r="I75" s="6">
        <f>(M$3*$B75)-D75</f>
        <v>42262.5</v>
      </c>
      <c r="J75" s="6">
        <f>(N$3*$B75)-E75</f>
        <v>28237.5</v>
      </c>
    </row>
    <row r="76" spans="2:10" x14ac:dyDescent="0.25">
      <c r="B76" s="4">
        <v>900</v>
      </c>
      <c r="C76" s="6">
        <f>$I$2+($B76*C$5)</f>
        <v>13975</v>
      </c>
      <c r="D76" s="6">
        <f>$I$2+($B76*D$5)</f>
        <v>13075</v>
      </c>
      <c r="E76" s="6">
        <f>$I$2+($B76*E$5)</f>
        <v>14425</v>
      </c>
      <c r="F76" s="6"/>
      <c r="G76" s="4">
        <v>900</v>
      </c>
      <c r="H76" s="6">
        <f>(L$3*$B76)-C76</f>
        <v>2225</v>
      </c>
      <c r="I76" s="6">
        <f>(M$3*$B76)-D76</f>
        <v>45425</v>
      </c>
      <c r="J76" s="6">
        <f>(N$3*$B76)-E76</f>
        <v>30575</v>
      </c>
    </row>
    <row r="77" spans="2:10" x14ac:dyDescent="0.25">
      <c r="B77" s="4">
        <v>950</v>
      </c>
      <c r="C77" s="6">
        <f>$I$2+($B77*C$5)</f>
        <v>14112.5</v>
      </c>
      <c r="D77" s="6">
        <f>$I$2+($B77*D$5)</f>
        <v>13162.5</v>
      </c>
      <c r="E77" s="6">
        <f>$I$2+($B77*E$5)</f>
        <v>14587.5</v>
      </c>
      <c r="F77" s="6"/>
      <c r="G77" s="4">
        <v>950</v>
      </c>
      <c r="H77" s="6">
        <f>(L$3*$B77)-C77</f>
        <v>2987.5</v>
      </c>
      <c r="I77" s="6">
        <f>(M$3*$B77)-D77</f>
        <v>48587.5</v>
      </c>
      <c r="J77" s="6">
        <f>(N$3*$B77)-E77</f>
        <v>32912.5</v>
      </c>
    </row>
    <row r="78" spans="2:10" x14ac:dyDescent="0.25">
      <c r="B78" s="4">
        <v>1000</v>
      </c>
      <c r="C78" s="6">
        <f>$I$2+($B78*C$5)</f>
        <v>14250</v>
      </c>
      <c r="D78" s="6">
        <f>$I$2+($B78*D$5)</f>
        <v>13250</v>
      </c>
      <c r="E78" s="6">
        <f>$I$2+($B78*E$5)</f>
        <v>14750</v>
      </c>
      <c r="F78" s="6"/>
      <c r="G78" s="4">
        <v>1000</v>
      </c>
      <c r="H78" s="6">
        <f>(L$3*$B78)-C78</f>
        <v>3750</v>
      </c>
      <c r="I78" s="6">
        <f>(M$3*$B78)-D78</f>
        <v>51750</v>
      </c>
      <c r="J78" s="6">
        <f>(N$3*$B78)-E78</f>
        <v>35250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7B79-9725-487A-BCD7-7CB63B26334A}">
  <dimension ref="A1:E78"/>
  <sheetViews>
    <sheetView showGridLines="0" tabSelected="1" workbookViewId="0">
      <selection activeCell="T54" sqref="T54"/>
    </sheetView>
  </sheetViews>
  <sheetFormatPr defaultRowHeight="15" x14ac:dyDescent="0.25"/>
  <cols>
    <col min="1" max="1" width="13.5703125" style="1" bestFit="1" customWidth="1"/>
    <col min="2" max="3" width="13.28515625" style="1" bestFit="1" customWidth="1"/>
    <col min="4" max="4" width="14.42578125" style="1" bestFit="1" customWidth="1"/>
    <col min="5" max="5" width="13.28515625" style="1" bestFit="1" customWidth="1"/>
    <col min="6" max="16384" width="9.140625" style="1"/>
  </cols>
  <sheetData>
    <row r="1" spans="1:5" x14ac:dyDescent="0.25">
      <c r="A1" s="7" t="s">
        <v>13</v>
      </c>
      <c r="B1" s="7"/>
      <c r="D1" s="1" t="s">
        <v>7</v>
      </c>
      <c r="E1" s="2">
        <v>11500</v>
      </c>
    </row>
    <row r="2" spans="1:5" x14ac:dyDescent="0.25">
      <c r="A2" s="1" t="s">
        <v>6</v>
      </c>
      <c r="B2" s="1" t="s">
        <v>1</v>
      </c>
    </row>
    <row r="3" spans="1:5" x14ac:dyDescent="0.25">
      <c r="A3" s="4" t="s">
        <v>3</v>
      </c>
      <c r="B3" s="2">
        <v>2.5</v>
      </c>
      <c r="D3" s="1" t="s">
        <v>8</v>
      </c>
      <c r="E3" s="2">
        <v>18</v>
      </c>
    </row>
    <row r="4" spans="1:5" x14ac:dyDescent="0.25">
      <c r="A4" s="4" t="s">
        <v>4</v>
      </c>
      <c r="B4" s="2">
        <v>2</v>
      </c>
      <c r="E4" s="2"/>
    </row>
    <row r="5" spans="1:5" x14ac:dyDescent="0.25">
      <c r="A5" s="4" t="s">
        <v>5</v>
      </c>
      <c r="B5" s="2">
        <v>2.75</v>
      </c>
    </row>
    <row r="6" spans="1:5" x14ac:dyDescent="0.25">
      <c r="A6" s="4"/>
      <c r="B6" s="2"/>
    </row>
    <row r="7" spans="1:5" x14ac:dyDescent="0.25">
      <c r="A7" s="4"/>
      <c r="B7" s="2"/>
    </row>
    <row r="8" spans="1:5" x14ac:dyDescent="0.25">
      <c r="A8" s="8" t="s">
        <v>17</v>
      </c>
      <c r="B8" s="8"/>
    </row>
    <row r="9" spans="1:5" x14ac:dyDescent="0.25">
      <c r="A9" s="5" t="s">
        <v>9</v>
      </c>
      <c r="B9" s="5" t="s">
        <v>18</v>
      </c>
      <c r="C9" s="5" t="s">
        <v>21</v>
      </c>
    </row>
    <row r="10" spans="1:5" x14ac:dyDescent="0.25">
      <c r="A10" s="4">
        <v>0</v>
      </c>
      <c r="B10" s="6">
        <f>(A10*$B$3)+$E$1</f>
        <v>11500</v>
      </c>
      <c r="C10" s="6">
        <f>($E$3*A10)-B10</f>
        <v>-11500</v>
      </c>
    </row>
    <row r="11" spans="1:5" x14ac:dyDescent="0.25">
      <c r="A11" s="4">
        <v>50</v>
      </c>
      <c r="B11" s="6">
        <f t="shared" ref="B11:B30" si="0">(A11*$B$3)+$E$1</f>
        <v>11625</v>
      </c>
      <c r="C11" s="6">
        <f t="shared" ref="C11:C30" si="1">($E$3*A11)-B11</f>
        <v>-10725</v>
      </c>
    </row>
    <row r="12" spans="1:5" x14ac:dyDescent="0.25">
      <c r="A12" s="4">
        <v>100</v>
      </c>
      <c r="B12" s="6">
        <f t="shared" si="0"/>
        <v>11750</v>
      </c>
      <c r="C12" s="6">
        <f t="shared" si="1"/>
        <v>-9950</v>
      </c>
    </row>
    <row r="13" spans="1:5" x14ac:dyDescent="0.25">
      <c r="A13" s="4">
        <v>150</v>
      </c>
      <c r="B13" s="6">
        <f t="shared" si="0"/>
        <v>11875</v>
      </c>
      <c r="C13" s="6">
        <f t="shared" si="1"/>
        <v>-9175</v>
      </c>
    </row>
    <row r="14" spans="1:5" x14ac:dyDescent="0.25">
      <c r="A14" s="4">
        <v>200</v>
      </c>
      <c r="B14" s="6">
        <f t="shared" si="0"/>
        <v>12000</v>
      </c>
      <c r="C14" s="6">
        <f t="shared" si="1"/>
        <v>-8400</v>
      </c>
    </row>
    <row r="15" spans="1:5" x14ac:dyDescent="0.25">
      <c r="A15" s="4">
        <v>250</v>
      </c>
      <c r="B15" s="6">
        <f t="shared" si="0"/>
        <v>12125</v>
      </c>
      <c r="C15" s="6">
        <f t="shared" si="1"/>
        <v>-7625</v>
      </c>
    </row>
    <row r="16" spans="1:5" x14ac:dyDescent="0.25">
      <c r="A16" s="4">
        <v>300</v>
      </c>
      <c r="B16" s="6">
        <f t="shared" si="0"/>
        <v>12250</v>
      </c>
      <c r="C16" s="6">
        <f t="shared" si="1"/>
        <v>-6850</v>
      </c>
    </row>
    <row r="17" spans="1:3" x14ac:dyDescent="0.25">
      <c r="A17" s="4">
        <v>350</v>
      </c>
      <c r="B17" s="6">
        <f t="shared" si="0"/>
        <v>12375</v>
      </c>
      <c r="C17" s="6">
        <f t="shared" si="1"/>
        <v>-6075</v>
      </c>
    </row>
    <row r="18" spans="1:3" x14ac:dyDescent="0.25">
      <c r="A18" s="4">
        <v>400</v>
      </c>
      <c r="B18" s="6">
        <f t="shared" si="0"/>
        <v>12500</v>
      </c>
      <c r="C18" s="6">
        <f t="shared" si="1"/>
        <v>-5300</v>
      </c>
    </row>
    <row r="19" spans="1:3" x14ac:dyDescent="0.25">
      <c r="A19" s="4">
        <v>450</v>
      </c>
      <c r="B19" s="6">
        <f t="shared" si="0"/>
        <v>12625</v>
      </c>
      <c r="C19" s="6">
        <f t="shared" si="1"/>
        <v>-4525</v>
      </c>
    </row>
    <row r="20" spans="1:3" x14ac:dyDescent="0.25">
      <c r="A20" s="4">
        <v>500</v>
      </c>
      <c r="B20" s="6">
        <f t="shared" si="0"/>
        <v>12750</v>
      </c>
      <c r="C20" s="6">
        <f t="shared" si="1"/>
        <v>-3750</v>
      </c>
    </row>
    <row r="21" spans="1:3" x14ac:dyDescent="0.25">
      <c r="A21" s="4">
        <v>550</v>
      </c>
      <c r="B21" s="6">
        <f t="shared" si="0"/>
        <v>12875</v>
      </c>
      <c r="C21" s="6">
        <f t="shared" si="1"/>
        <v>-2975</v>
      </c>
    </row>
    <row r="22" spans="1:3" x14ac:dyDescent="0.25">
      <c r="A22" s="4">
        <v>600</v>
      </c>
      <c r="B22" s="6">
        <f t="shared" si="0"/>
        <v>13000</v>
      </c>
      <c r="C22" s="6">
        <f t="shared" si="1"/>
        <v>-2200</v>
      </c>
    </row>
    <row r="23" spans="1:3" x14ac:dyDescent="0.25">
      <c r="A23" s="4">
        <v>650</v>
      </c>
      <c r="B23" s="6">
        <f t="shared" si="0"/>
        <v>13125</v>
      </c>
      <c r="C23" s="6">
        <f t="shared" si="1"/>
        <v>-1425</v>
      </c>
    </row>
    <row r="24" spans="1:3" x14ac:dyDescent="0.25">
      <c r="A24" s="4">
        <v>700</v>
      </c>
      <c r="B24" s="6">
        <f t="shared" si="0"/>
        <v>13250</v>
      </c>
      <c r="C24" s="6">
        <f t="shared" si="1"/>
        <v>-650</v>
      </c>
    </row>
    <row r="25" spans="1:3" x14ac:dyDescent="0.25">
      <c r="A25" s="4">
        <v>750</v>
      </c>
      <c r="B25" s="6">
        <f t="shared" si="0"/>
        <v>13375</v>
      </c>
      <c r="C25" s="6">
        <f t="shared" si="1"/>
        <v>125</v>
      </c>
    </row>
    <row r="26" spans="1:3" x14ac:dyDescent="0.25">
      <c r="A26" s="4">
        <v>800</v>
      </c>
      <c r="B26" s="6">
        <f t="shared" si="0"/>
        <v>13500</v>
      </c>
      <c r="C26" s="6">
        <f t="shared" si="1"/>
        <v>900</v>
      </c>
    </row>
    <row r="27" spans="1:3" x14ac:dyDescent="0.25">
      <c r="A27" s="4">
        <v>850</v>
      </c>
      <c r="B27" s="6">
        <f t="shared" si="0"/>
        <v>13625</v>
      </c>
      <c r="C27" s="6">
        <f t="shared" si="1"/>
        <v>1675</v>
      </c>
    </row>
    <row r="28" spans="1:3" x14ac:dyDescent="0.25">
      <c r="A28" s="4">
        <v>900</v>
      </c>
      <c r="B28" s="6">
        <f t="shared" si="0"/>
        <v>13750</v>
      </c>
      <c r="C28" s="6">
        <f t="shared" si="1"/>
        <v>2450</v>
      </c>
    </row>
    <row r="29" spans="1:3" x14ac:dyDescent="0.25">
      <c r="A29" s="4">
        <v>950</v>
      </c>
      <c r="B29" s="6">
        <f t="shared" si="0"/>
        <v>13875</v>
      </c>
      <c r="C29" s="6">
        <f t="shared" si="1"/>
        <v>3225</v>
      </c>
    </row>
    <row r="30" spans="1:3" x14ac:dyDescent="0.25">
      <c r="A30" s="4">
        <v>1000</v>
      </c>
      <c r="B30" s="6">
        <f t="shared" si="0"/>
        <v>14000</v>
      </c>
      <c r="C30" s="6">
        <f t="shared" si="1"/>
        <v>4000</v>
      </c>
    </row>
    <row r="32" spans="1:3" x14ac:dyDescent="0.25">
      <c r="A32" s="8" t="s">
        <v>19</v>
      </c>
      <c r="B32" s="8"/>
    </row>
    <row r="33" spans="1:3" x14ac:dyDescent="0.25">
      <c r="A33" s="5" t="s">
        <v>9</v>
      </c>
      <c r="B33" s="5" t="s">
        <v>18</v>
      </c>
      <c r="C33" s="9" t="s">
        <v>21</v>
      </c>
    </row>
    <row r="34" spans="1:3" x14ac:dyDescent="0.25">
      <c r="A34" s="4">
        <v>0</v>
      </c>
      <c r="B34" s="6">
        <f>$E$1+($A34*$B$4)</f>
        <v>11500</v>
      </c>
      <c r="C34" s="6">
        <f>($E$3*A34)-B34</f>
        <v>-11500</v>
      </c>
    </row>
    <row r="35" spans="1:3" x14ac:dyDescent="0.25">
      <c r="A35" s="4">
        <v>50</v>
      </c>
      <c r="B35" s="6">
        <f t="shared" ref="B35:B54" si="2">$E$1+($A35*$B$4)</f>
        <v>11600</v>
      </c>
      <c r="C35" s="6">
        <f t="shared" ref="C35:C54" si="3">($E$3*A35)-B35</f>
        <v>-10700</v>
      </c>
    </row>
    <row r="36" spans="1:3" x14ac:dyDescent="0.25">
      <c r="A36" s="4">
        <v>100</v>
      </c>
      <c r="B36" s="6">
        <f t="shared" si="2"/>
        <v>11700</v>
      </c>
      <c r="C36" s="6">
        <f t="shared" si="3"/>
        <v>-9900</v>
      </c>
    </row>
    <row r="37" spans="1:3" x14ac:dyDescent="0.25">
      <c r="A37" s="4">
        <v>150</v>
      </c>
      <c r="B37" s="6">
        <f t="shared" si="2"/>
        <v>11800</v>
      </c>
      <c r="C37" s="6">
        <f t="shared" si="3"/>
        <v>-9100</v>
      </c>
    </row>
    <row r="38" spans="1:3" x14ac:dyDescent="0.25">
      <c r="A38" s="4">
        <v>200</v>
      </c>
      <c r="B38" s="6">
        <f t="shared" si="2"/>
        <v>11900</v>
      </c>
      <c r="C38" s="6">
        <f t="shared" si="3"/>
        <v>-8300</v>
      </c>
    </row>
    <row r="39" spans="1:3" x14ac:dyDescent="0.25">
      <c r="A39" s="4">
        <v>250</v>
      </c>
      <c r="B39" s="6">
        <f t="shared" si="2"/>
        <v>12000</v>
      </c>
      <c r="C39" s="6">
        <f t="shared" si="3"/>
        <v>-7500</v>
      </c>
    </row>
    <row r="40" spans="1:3" x14ac:dyDescent="0.25">
      <c r="A40" s="4">
        <v>300</v>
      </c>
      <c r="B40" s="6">
        <f t="shared" si="2"/>
        <v>12100</v>
      </c>
      <c r="C40" s="6">
        <f t="shared" si="3"/>
        <v>-6700</v>
      </c>
    </row>
    <row r="41" spans="1:3" x14ac:dyDescent="0.25">
      <c r="A41" s="4">
        <v>350</v>
      </c>
      <c r="B41" s="6">
        <f t="shared" si="2"/>
        <v>12200</v>
      </c>
      <c r="C41" s="6">
        <f t="shared" si="3"/>
        <v>-5900</v>
      </c>
    </row>
    <row r="42" spans="1:3" x14ac:dyDescent="0.25">
      <c r="A42" s="4">
        <v>400</v>
      </c>
      <c r="B42" s="6">
        <f t="shared" si="2"/>
        <v>12300</v>
      </c>
      <c r="C42" s="6">
        <f t="shared" si="3"/>
        <v>-5100</v>
      </c>
    </row>
    <row r="43" spans="1:3" x14ac:dyDescent="0.25">
      <c r="A43" s="4">
        <v>450</v>
      </c>
      <c r="B43" s="6">
        <f t="shared" si="2"/>
        <v>12400</v>
      </c>
      <c r="C43" s="6">
        <f t="shared" si="3"/>
        <v>-4300</v>
      </c>
    </row>
    <row r="44" spans="1:3" x14ac:dyDescent="0.25">
      <c r="A44" s="4">
        <v>500</v>
      </c>
      <c r="B44" s="6">
        <f t="shared" si="2"/>
        <v>12500</v>
      </c>
      <c r="C44" s="6">
        <f t="shared" si="3"/>
        <v>-3500</v>
      </c>
    </row>
    <row r="45" spans="1:3" x14ac:dyDescent="0.25">
      <c r="A45" s="4">
        <v>550</v>
      </c>
      <c r="B45" s="6">
        <f t="shared" si="2"/>
        <v>12600</v>
      </c>
      <c r="C45" s="6">
        <f t="shared" si="3"/>
        <v>-2700</v>
      </c>
    </row>
    <row r="46" spans="1:3" x14ac:dyDescent="0.25">
      <c r="A46" s="4">
        <v>600</v>
      </c>
      <c r="B46" s="6">
        <f t="shared" si="2"/>
        <v>12700</v>
      </c>
      <c r="C46" s="6">
        <f t="shared" si="3"/>
        <v>-1900</v>
      </c>
    </row>
    <row r="47" spans="1:3" x14ac:dyDescent="0.25">
      <c r="A47" s="4">
        <v>650</v>
      </c>
      <c r="B47" s="6">
        <f t="shared" si="2"/>
        <v>12800</v>
      </c>
      <c r="C47" s="6">
        <f t="shared" si="3"/>
        <v>-1100</v>
      </c>
    </row>
    <row r="48" spans="1:3" x14ac:dyDescent="0.25">
      <c r="A48" s="4">
        <v>700</v>
      </c>
      <c r="B48" s="6">
        <f t="shared" si="2"/>
        <v>12900</v>
      </c>
      <c r="C48" s="6">
        <f t="shared" si="3"/>
        <v>-300</v>
      </c>
    </row>
    <row r="49" spans="1:3" x14ac:dyDescent="0.25">
      <c r="A49" s="4">
        <v>750</v>
      </c>
      <c r="B49" s="6">
        <f t="shared" si="2"/>
        <v>13000</v>
      </c>
      <c r="C49" s="6">
        <f t="shared" si="3"/>
        <v>500</v>
      </c>
    </row>
    <row r="50" spans="1:3" x14ac:dyDescent="0.25">
      <c r="A50" s="4">
        <v>800</v>
      </c>
      <c r="B50" s="6">
        <f t="shared" si="2"/>
        <v>13100</v>
      </c>
      <c r="C50" s="6">
        <f t="shared" si="3"/>
        <v>1300</v>
      </c>
    </row>
    <row r="51" spans="1:3" x14ac:dyDescent="0.25">
      <c r="A51" s="4">
        <v>850</v>
      </c>
      <c r="B51" s="6">
        <f t="shared" si="2"/>
        <v>13200</v>
      </c>
      <c r="C51" s="6">
        <f t="shared" si="3"/>
        <v>2100</v>
      </c>
    </row>
    <row r="52" spans="1:3" x14ac:dyDescent="0.25">
      <c r="A52" s="4">
        <v>900</v>
      </c>
      <c r="B52" s="6">
        <f t="shared" si="2"/>
        <v>13300</v>
      </c>
      <c r="C52" s="6">
        <f t="shared" si="3"/>
        <v>2900</v>
      </c>
    </row>
    <row r="53" spans="1:3" x14ac:dyDescent="0.25">
      <c r="A53" s="4">
        <v>950</v>
      </c>
      <c r="B53" s="6">
        <f t="shared" si="2"/>
        <v>13400</v>
      </c>
      <c r="C53" s="6">
        <f t="shared" si="3"/>
        <v>3700</v>
      </c>
    </row>
    <row r="54" spans="1:3" x14ac:dyDescent="0.25">
      <c r="A54" s="4">
        <v>1000</v>
      </c>
      <c r="B54" s="6">
        <f t="shared" si="2"/>
        <v>13500</v>
      </c>
      <c r="C54" s="6">
        <f t="shared" si="3"/>
        <v>4500</v>
      </c>
    </row>
    <row r="56" spans="1:3" x14ac:dyDescent="0.25">
      <c r="A56" s="8" t="s">
        <v>20</v>
      </c>
      <c r="B56" s="8"/>
    </row>
    <row r="57" spans="1:3" x14ac:dyDescent="0.25">
      <c r="A57" s="5" t="s">
        <v>9</v>
      </c>
      <c r="B57" s="5" t="s">
        <v>18</v>
      </c>
      <c r="C57" s="9" t="s">
        <v>21</v>
      </c>
    </row>
    <row r="58" spans="1:3" x14ac:dyDescent="0.25">
      <c r="A58" s="4">
        <v>0</v>
      </c>
      <c r="B58" s="6">
        <f>$E$1+($A58*B$5)</f>
        <v>11500</v>
      </c>
      <c r="C58" s="6">
        <f>($E$3*A58)-B58</f>
        <v>-11500</v>
      </c>
    </row>
    <row r="59" spans="1:3" x14ac:dyDescent="0.25">
      <c r="A59" s="4">
        <v>50</v>
      </c>
      <c r="B59" s="6">
        <f t="shared" ref="B59:B78" si="4">$E$1+($A59*B$5)</f>
        <v>11637.5</v>
      </c>
      <c r="C59" s="6">
        <f t="shared" ref="C59:C78" si="5">($E$3*A59)-B59</f>
        <v>-10737.5</v>
      </c>
    </row>
    <row r="60" spans="1:3" x14ac:dyDescent="0.25">
      <c r="A60" s="4">
        <v>100</v>
      </c>
      <c r="B60" s="6">
        <f t="shared" si="4"/>
        <v>11775</v>
      </c>
      <c r="C60" s="6">
        <f t="shared" si="5"/>
        <v>-9975</v>
      </c>
    </row>
    <row r="61" spans="1:3" x14ac:dyDescent="0.25">
      <c r="A61" s="4">
        <v>150</v>
      </c>
      <c r="B61" s="6">
        <f t="shared" si="4"/>
        <v>11912.5</v>
      </c>
      <c r="C61" s="6">
        <f t="shared" si="5"/>
        <v>-9212.5</v>
      </c>
    </row>
    <row r="62" spans="1:3" x14ac:dyDescent="0.25">
      <c r="A62" s="4">
        <v>200</v>
      </c>
      <c r="B62" s="6">
        <f t="shared" si="4"/>
        <v>12050</v>
      </c>
      <c r="C62" s="6">
        <f t="shared" si="5"/>
        <v>-8450</v>
      </c>
    </row>
    <row r="63" spans="1:3" x14ac:dyDescent="0.25">
      <c r="A63" s="4">
        <v>250</v>
      </c>
      <c r="B63" s="6">
        <f t="shared" si="4"/>
        <v>12187.5</v>
      </c>
      <c r="C63" s="6">
        <f t="shared" si="5"/>
        <v>-7687.5</v>
      </c>
    </row>
    <row r="64" spans="1:3" x14ac:dyDescent="0.25">
      <c r="A64" s="4">
        <v>300</v>
      </c>
      <c r="B64" s="6">
        <f t="shared" si="4"/>
        <v>12325</v>
      </c>
      <c r="C64" s="6">
        <f t="shared" si="5"/>
        <v>-6925</v>
      </c>
    </row>
    <row r="65" spans="1:3" x14ac:dyDescent="0.25">
      <c r="A65" s="4">
        <v>350</v>
      </c>
      <c r="B65" s="6">
        <f t="shared" si="4"/>
        <v>12462.5</v>
      </c>
      <c r="C65" s="6">
        <f t="shared" si="5"/>
        <v>-6162.5</v>
      </c>
    </row>
    <row r="66" spans="1:3" x14ac:dyDescent="0.25">
      <c r="A66" s="4">
        <v>400</v>
      </c>
      <c r="B66" s="6">
        <f t="shared" si="4"/>
        <v>12600</v>
      </c>
      <c r="C66" s="6">
        <f t="shared" si="5"/>
        <v>-5400</v>
      </c>
    </row>
    <row r="67" spans="1:3" x14ac:dyDescent="0.25">
      <c r="A67" s="4">
        <v>450</v>
      </c>
      <c r="B67" s="6">
        <f t="shared" si="4"/>
        <v>12737.5</v>
      </c>
      <c r="C67" s="6">
        <f t="shared" si="5"/>
        <v>-4637.5</v>
      </c>
    </row>
    <row r="68" spans="1:3" x14ac:dyDescent="0.25">
      <c r="A68" s="4">
        <v>500</v>
      </c>
      <c r="B68" s="6">
        <f t="shared" si="4"/>
        <v>12875</v>
      </c>
      <c r="C68" s="6">
        <f t="shared" si="5"/>
        <v>-3875</v>
      </c>
    </row>
    <row r="69" spans="1:3" x14ac:dyDescent="0.25">
      <c r="A69" s="4">
        <v>550</v>
      </c>
      <c r="B69" s="6">
        <f t="shared" si="4"/>
        <v>13012.5</v>
      </c>
      <c r="C69" s="6">
        <f t="shared" si="5"/>
        <v>-3112.5</v>
      </c>
    </row>
    <row r="70" spans="1:3" x14ac:dyDescent="0.25">
      <c r="A70" s="4">
        <v>600</v>
      </c>
      <c r="B70" s="6">
        <f t="shared" si="4"/>
        <v>13150</v>
      </c>
      <c r="C70" s="6">
        <f t="shared" si="5"/>
        <v>-2350</v>
      </c>
    </row>
    <row r="71" spans="1:3" x14ac:dyDescent="0.25">
      <c r="A71" s="4">
        <v>650</v>
      </c>
      <c r="B71" s="6">
        <f t="shared" si="4"/>
        <v>13287.5</v>
      </c>
      <c r="C71" s="6">
        <f t="shared" si="5"/>
        <v>-1587.5</v>
      </c>
    </row>
    <row r="72" spans="1:3" x14ac:dyDescent="0.25">
      <c r="A72" s="4">
        <v>700</v>
      </c>
      <c r="B72" s="6">
        <f t="shared" si="4"/>
        <v>13425</v>
      </c>
      <c r="C72" s="6">
        <f t="shared" si="5"/>
        <v>-825</v>
      </c>
    </row>
    <row r="73" spans="1:3" x14ac:dyDescent="0.25">
      <c r="A73" s="4">
        <v>750</v>
      </c>
      <c r="B73" s="6">
        <f t="shared" si="4"/>
        <v>13562.5</v>
      </c>
      <c r="C73" s="6">
        <f t="shared" si="5"/>
        <v>-62.5</v>
      </c>
    </row>
    <row r="74" spans="1:3" x14ac:dyDescent="0.25">
      <c r="A74" s="4">
        <v>800</v>
      </c>
      <c r="B74" s="6">
        <f t="shared" si="4"/>
        <v>13700</v>
      </c>
      <c r="C74" s="6">
        <f t="shared" si="5"/>
        <v>700</v>
      </c>
    </row>
    <row r="75" spans="1:3" x14ac:dyDescent="0.25">
      <c r="A75" s="4">
        <v>850</v>
      </c>
      <c r="B75" s="6">
        <f t="shared" si="4"/>
        <v>13837.5</v>
      </c>
      <c r="C75" s="6">
        <f t="shared" si="5"/>
        <v>1462.5</v>
      </c>
    </row>
    <row r="76" spans="1:3" x14ac:dyDescent="0.25">
      <c r="A76" s="4">
        <v>900</v>
      </c>
      <c r="B76" s="6">
        <f t="shared" si="4"/>
        <v>13975</v>
      </c>
      <c r="C76" s="6">
        <f t="shared" si="5"/>
        <v>2225</v>
      </c>
    </row>
    <row r="77" spans="1:3" x14ac:dyDescent="0.25">
      <c r="A77" s="4">
        <v>950</v>
      </c>
      <c r="B77" s="6">
        <f t="shared" si="4"/>
        <v>14112.5</v>
      </c>
      <c r="C77" s="6">
        <f t="shared" si="5"/>
        <v>2987.5</v>
      </c>
    </row>
    <row r="78" spans="1:3" x14ac:dyDescent="0.25">
      <c r="A78" s="4">
        <v>1000</v>
      </c>
      <c r="B78" s="6">
        <f t="shared" si="4"/>
        <v>14250</v>
      </c>
      <c r="C78" s="6">
        <f t="shared" si="5"/>
        <v>3750</v>
      </c>
    </row>
  </sheetData>
  <mergeCells count="4">
    <mergeCell ref="A1:B1"/>
    <mergeCell ref="A8:B8"/>
    <mergeCell ref="A32:B32"/>
    <mergeCell ref="A56:B56"/>
  </mergeCells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2023-09-11T22:11:48Z</dcterms:created>
  <dcterms:modified xsi:type="dcterms:W3CDTF">2023-09-11T22:57:35Z</dcterms:modified>
</cp:coreProperties>
</file>