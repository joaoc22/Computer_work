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0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13_ncr:40009_{95509BEF-24CA-4513-897A-4BE1A7553009}" xr6:coauthVersionLast="36" xr6:coauthVersionMax="36" xr10:uidLastSave="{00000000-0000-0000-0000-000000000000}"/>
  <bookViews>
    <workbookView xWindow="0" yWindow="0" windowWidth="28800" windowHeight="12225" activeTab="1"/>
  </bookViews>
  <sheets>
    <sheet name="Bens e Direitos" sheetId="1" r:id="rId1"/>
    <sheet name="Planilha1" sheetId="2" r:id="rId2"/>
    <sheet name="Planilha2" sheetId="3" r:id="rId3"/>
  </sheets>
  <definedNames>
    <definedName name="_xlnm._FilterDatabase" localSheetId="0" hidden="1">'Bens e Direitos'!$A$1:$BJ$15</definedName>
  </definedNames>
  <calcPr calcId="0"/>
</workbook>
</file>

<file path=xl/calcChain.xml><?xml version="1.0" encoding="utf-8"?>
<calcChain xmlns="http://schemas.openxmlformats.org/spreadsheetml/2006/main">
  <c r="D10" i="2" l="1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C10" i="2"/>
</calcChain>
</file>

<file path=xl/sharedStrings.xml><?xml version="1.0" encoding="utf-8"?>
<sst xmlns="http://schemas.openxmlformats.org/spreadsheetml/2006/main" count="123" uniqueCount="61">
  <si>
    <t>Ano Calendário</t>
  </si>
  <si>
    <t>Ações (inclusive as provenientes de linha telefônica)</t>
  </si>
  <si>
    <t>Aeronave</t>
  </si>
  <si>
    <t>Apartamento</t>
  </si>
  <si>
    <t>Aplicação de renda fixa (CDB, RDB e outros)</t>
  </si>
  <si>
    <t>Bem relacionado com o exercício da atividade autônoma</t>
  </si>
  <si>
    <t>Benfeitorias</t>
  </si>
  <si>
    <t>Caderneta de poupança</t>
  </si>
  <si>
    <t>Casa</t>
  </si>
  <si>
    <t>Consórcio não contemplado</t>
  </si>
  <si>
    <t>Construção</t>
  </si>
  <si>
    <t>Crédito decorrente de alienação</t>
  </si>
  <si>
    <t>Crédito decorrente de empréstimo</t>
  </si>
  <si>
    <t>Criptoativo Bitcoin BTC</t>
  </si>
  <si>
    <t>Demais criptoativos não considerados criptomoedas (payment token) - security token ou utility token</t>
  </si>
  <si>
    <t>Dep. bancário em conta corrente no ext., exceto o informado sob cód. 80 - Saldo Derex Lei 11371/2006</t>
  </si>
  <si>
    <t>Depósito bancário em conta corrente no país</t>
  </si>
  <si>
    <t>Demais Bens e Direitos</t>
  </si>
  <si>
    <t>Dinheiro em espécie - Moeda nacional</t>
  </si>
  <si>
    <t>Dinheiro em espécie - Moeda estrangeira</t>
  </si>
  <si>
    <t>Direito de autor,de inventor e patente</t>
  </si>
  <si>
    <t>Direito de lavra e assemelhado</t>
  </si>
  <si>
    <t>Embarcação</t>
  </si>
  <si>
    <t>Fundo de Curto Prazo</t>
  </si>
  <si>
    <t>Fundo de Investimento Imobiliário.</t>
  </si>
  <si>
    <t>Fundo de Longo Prazo e Fundo de Investimentos em Direitos Creditórios (FIDC)</t>
  </si>
  <si>
    <t>Fundos Ações, Mútuos Privat., Invest. Emp. Emerg., Invest. Participação e Invest. Ind. Mercado....</t>
  </si>
  <si>
    <t>Galpão</t>
  </si>
  <si>
    <t>Imóvel Rural</t>
  </si>
  <si>
    <t>Inválido</t>
  </si>
  <si>
    <t>Jóia, quadro, objeto de arte, de coleção, antigüidade, etc.</t>
  </si>
  <si>
    <t>Leasing</t>
  </si>
  <si>
    <t>Licença e concessão especiais.</t>
  </si>
  <si>
    <t>Linha telefônica</t>
  </si>
  <si>
    <t>Loja</t>
  </si>
  <si>
    <t>Mercados futuros, de opções e a termo</t>
  </si>
  <si>
    <t>Não informado</t>
  </si>
  <si>
    <t>Ouro, ativo financeiro</t>
  </si>
  <si>
    <t>Outras aplicações e investimentos</t>
  </si>
  <si>
    <t>Outras participações societárias</t>
  </si>
  <si>
    <t>Outros bens e direitos</t>
  </si>
  <si>
    <t>Outros bens imóveis</t>
  </si>
  <si>
    <t>Outros bens móveis</t>
  </si>
  <si>
    <t>Outros créditos e poupança vinculados</t>
  </si>
  <si>
    <t>Outros criptoativos do tipo moeda digital, conhecidos como altcoins (ETH, XRP, BCH, USDT, LINK, LTC)</t>
  </si>
  <si>
    <t>Outros depósitos à vista e numerário</t>
  </si>
  <si>
    <t>Outros fundos</t>
  </si>
  <si>
    <t>Plano PAIT e caderneta pecúlio</t>
  </si>
  <si>
    <t>Poupança para construção ou aquisição de bem imóvel</t>
  </si>
  <si>
    <t>Prédio comercial</t>
  </si>
  <si>
    <t>Prédio residencial</t>
  </si>
  <si>
    <t>Quotas ou quinhões de capital</t>
  </si>
  <si>
    <t>Sala ou conjunto</t>
  </si>
  <si>
    <t>Saldo Derex Lei 11.371/2006.</t>
  </si>
  <si>
    <t>Terreno</t>
  </si>
  <si>
    <t>Título de clube e assemelhado</t>
  </si>
  <si>
    <t>Veículo automotor terrestre: caminhão,automóvel, moto, etc.</t>
  </si>
  <si>
    <t>VGBL - Vida gerador de benefício livre</t>
  </si>
  <si>
    <t>Terra nua</t>
  </si>
  <si>
    <t>Fundo de investimento financeiro - FIF</t>
  </si>
  <si>
    <t>Outras informações de outros bens e direitos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</si>
</sst>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2" fmlaLink="$A$1" fmlaRange="'Bens e Direitos'!$A$2:$A$15" noThreeD="1" sel="4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4</xdr:row>
          <xdr:rowOff>123825</xdr:rowOff>
        </xdr:from>
        <xdr:to>
          <xdr:col>2</xdr:col>
          <xdr:colOff>723900</xdr:colOff>
          <xdr:row>6</xdr:row>
          <xdr:rowOff>38100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92404B4-9FFA-4624-8FCB-BDF82D1F1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1143000</xdr:colOff>
          <xdr:row>16</xdr:row>
          <xdr:rowOff>114300</xdr:rowOff>
        </xdr:from>
        <xdr:to>
          <xdr:col>2</xdr:col>
          <xdr:colOff>2085975</xdr:colOff>
          <xdr:row>19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1EA283F4-B08A-435D-BDE3-33B1F7014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J15"/>
  <sheetViews>
    <sheetView topLeftCell="BC1" workbookViewId="0">
      <selection activeCell="BD12" sqref="BD12"/>
    </sheetView>
  </sheetViews>
  <sheetFormatPr defaultRowHeight="15" x14ac:dyDescent="0.25"/>
  <cols>
    <col min="1" max="1" width="17" bestFit="1" customWidth="1"/>
    <col min="2" max="2" width="51.140625" bestFit="1" customWidth="1"/>
    <col min="3" max="3" width="12" bestFit="1" customWidth="1"/>
    <col min="4" max="4" width="15" bestFit="1" customWidth="1"/>
    <col min="5" max="5" width="42.42578125" bestFit="1" customWidth="1"/>
    <col min="6" max="6" width="54.28515625" bestFit="1" customWidth="1"/>
    <col min="7" max="7" width="14.140625" bestFit="1" customWidth="1"/>
    <col min="8" max="8" width="24.5703125" bestFit="1" customWidth="1"/>
    <col min="9" max="9" width="12" bestFit="1" customWidth="1"/>
    <col min="10" max="10" width="28.42578125" bestFit="1" customWidth="1"/>
    <col min="11" max="11" width="13.140625" bestFit="1" customWidth="1"/>
    <col min="12" max="12" width="32.42578125" bestFit="1" customWidth="1"/>
    <col min="13" max="13" width="34.85546875" bestFit="1" customWidth="1"/>
    <col min="14" max="14" width="23.85546875" bestFit="1" customWidth="1"/>
    <col min="15" max="15" width="95.42578125" bestFit="1" customWidth="1"/>
    <col min="16" max="16" width="95.28515625" bestFit="1" customWidth="1"/>
    <col min="17" max="17" width="43.42578125" bestFit="1" customWidth="1"/>
    <col min="18" max="18" width="24" bestFit="1" customWidth="1"/>
    <col min="19" max="19" width="38" bestFit="1" customWidth="1"/>
    <col min="20" max="20" width="40.7109375" bestFit="1" customWidth="1"/>
    <col min="21" max="21" width="38" bestFit="1" customWidth="1"/>
    <col min="22" max="22" width="31.140625" bestFit="1" customWidth="1"/>
    <col min="23" max="23" width="13.7109375" bestFit="1" customWidth="1"/>
    <col min="24" max="24" width="22.42578125" bestFit="1" customWidth="1"/>
    <col min="25" max="25" width="35.28515625" bestFit="1" customWidth="1"/>
    <col min="26" max="26" width="75" bestFit="1" customWidth="1"/>
    <col min="27" max="27" width="90.85546875" bestFit="1" customWidth="1"/>
    <col min="28" max="28" width="12" bestFit="1" customWidth="1"/>
    <col min="29" max="29" width="14.42578125" bestFit="1" customWidth="1"/>
    <col min="30" max="30" width="12" bestFit="1" customWidth="1"/>
    <col min="31" max="31" width="55.28515625" bestFit="1" customWidth="1"/>
    <col min="32" max="32" width="12" bestFit="1" customWidth="1"/>
    <col min="33" max="33" width="30.42578125" bestFit="1" customWidth="1"/>
    <col min="34" max="34" width="17.5703125" bestFit="1" customWidth="1"/>
    <col min="35" max="35" width="12" bestFit="1" customWidth="1"/>
    <col min="36" max="36" width="38.42578125" bestFit="1" customWidth="1"/>
    <col min="37" max="37" width="16.7109375" bestFit="1" customWidth="1"/>
    <col min="38" max="38" width="22.85546875" bestFit="1" customWidth="1"/>
    <col min="39" max="39" width="34.140625" bestFit="1" customWidth="1"/>
    <col min="40" max="40" width="31.7109375" bestFit="1" customWidth="1"/>
    <col min="41" max="41" width="23.140625" bestFit="1" customWidth="1"/>
    <col min="42" max="42" width="21.7109375" bestFit="1" customWidth="1"/>
    <col min="43" max="43" width="21.140625" bestFit="1" customWidth="1"/>
    <col min="44" max="44" width="38.140625" bestFit="1" customWidth="1"/>
    <col min="45" max="45" width="94.5703125" bestFit="1" customWidth="1"/>
    <col min="46" max="46" width="36.5703125" bestFit="1" customWidth="1"/>
    <col min="47" max="47" width="16" bestFit="1" customWidth="1"/>
    <col min="48" max="48" width="31.140625" bestFit="1" customWidth="1"/>
    <col min="49" max="49" width="52.7109375" bestFit="1" customWidth="1"/>
    <col min="50" max="50" width="18.28515625" bestFit="1" customWidth="1"/>
    <col min="51" max="51" width="19.5703125" bestFit="1" customWidth="1"/>
    <col min="52" max="52" width="30.5703125" bestFit="1" customWidth="1"/>
    <col min="53" max="53" width="18" bestFit="1" customWidth="1"/>
    <col min="54" max="54" width="28.85546875" bestFit="1" customWidth="1"/>
    <col min="55" max="55" width="12" bestFit="1" customWidth="1"/>
    <col min="56" max="56" width="30.5703125" bestFit="1" customWidth="1"/>
    <col min="57" max="57" width="59.28515625" bestFit="1" customWidth="1"/>
    <col min="58" max="58" width="37.42578125" bestFit="1" customWidth="1"/>
    <col min="59" max="59" width="12" bestFit="1" customWidth="1"/>
    <col min="60" max="60" width="30.5703125" bestFit="1" customWidth="1"/>
    <col min="61" max="61" width="38.28515625" bestFit="1" customWidth="1"/>
    <col min="62" max="62" width="44" bestFit="1" customWidth="1"/>
  </cols>
  <sheetData>
    <row r="1" spans="1:6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51</v>
      </c>
      <c r="BI1" t="s">
        <v>59</v>
      </c>
      <c r="BJ1" t="s">
        <v>60</v>
      </c>
    </row>
    <row r="2" spans="1:62" x14ac:dyDescent="0.25">
      <c r="A2">
        <v>2020</v>
      </c>
      <c r="B2">
        <v>616501.62390000001</v>
      </c>
      <c r="C2">
        <v>3874.382955</v>
      </c>
      <c r="D2">
        <v>1605524.4879999999</v>
      </c>
      <c r="E2">
        <v>850794.78599999996</v>
      </c>
      <c r="F2">
        <v>6018.9287119999999</v>
      </c>
      <c r="G2">
        <v>37475.025450000001</v>
      </c>
      <c r="H2">
        <v>440100.87180000002</v>
      </c>
      <c r="I2">
        <v>1275570.483</v>
      </c>
      <c r="J2">
        <v>23677.25102</v>
      </c>
      <c r="K2">
        <v>100624.27589999999</v>
      </c>
      <c r="L2">
        <v>54833.744180000002</v>
      </c>
      <c r="M2">
        <v>353102.63380000001</v>
      </c>
      <c r="N2">
        <v>229.32640929999999</v>
      </c>
      <c r="O2">
        <v>17.80613606</v>
      </c>
      <c r="P2">
        <v>0</v>
      </c>
      <c r="Q2">
        <v>125337.618</v>
      </c>
      <c r="R2">
        <v>0</v>
      </c>
      <c r="S2">
        <v>211291.43590000001</v>
      </c>
      <c r="T2">
        <v>13847.750260000001</v>
      </c>
      <c r="U2">
        <v>12700.71717</v>
      </c>
      <c r="V2">
        <v>444.21762840000002</v>
      </c>
      <c r="W2">
        <v>9620.5616289999998</v>
      </c>
      <c r="X2">
        <v>97982.020120000001</v>
      </c>
      <c r="Y2">
        <v>79167.225059999997</v>
      </c>
      <c r="Z2">
        <v>496045.51</v>
      </c>
      <c r="AA2">
        <v>187194.61309999999</v>
      </c>
      <c r="AB2">
        <v>16991.434290000001</v>
      </c>
      <c r="AC2">
        <v>437140.29019999999</v>
      </c>
      <c r="AD2">
        <v>3668.615057</v>
      </c>
      <c r="AE2">
        <v>16417.421699999999</v>
      </c>
      <c r="AF2">
        <v>216.90920249999999</v>
      </c>
      <c r="AG2">
        <v>524.41919910000001</v>
      </c>
      <c r="AH2">
        <v>1050.91599</v>
      </c>
      <c r="AI2">
        <v>21605.42468</v>
      </c>
      <c r="AJ2">
        <v>3790.656653</v>
      </c>
      <c r="AK2">
        <v>61580.939780000001</v>
      </c>
      <c r="AL2">
        <v>29039.11508</v>
      </c>
      <c r="AM2">
        <v>246679.01990000001</v>
      </c>
      <c r="AN2">
        <v>111514.97659999999</v>
      </c>
      <c r="AO2">
        <v>348867.87300000002</v>
      </c>
      <c r="AP2">
        <v>44575.083500000001</v>
      </c>
      <c r="AQ2">
        <v>7043.5671990000001</v>
      </c>
      <c r="AR2">
        <v>29186.417000000001</v>
      </c>
      <c r="AS2">
        <v>85.295061219999994</v>
      </c>
      <c r="AT2">
        <v>15709.66726</v>
      </c>
      <c r="AU2">
        <v>158449.951</v>
      </c>
      <c r="AV2">
        <v>2416.9889170000001</v>
      </c>
      <c r="AW2">
        <v>3746.2899339999999</v>
      </c>
      <c r="AX2">
        <v>82422.846640000003</v>
      </c>
      <c r="AY2">
        <v>131477.7751</v>
      </c>
      <c r="AZ2">
        <v>1053089.294</v>
      </c>
      <c r="BA2">
        <v>91261.118780000004</v>
      </c>
      <c r="BB2">
        <v>122.8033777</v>
      </c>
      <c r="BC2">
        <v>493985.33189999999</v>
      </c>
      <c r="BD2">
        <v>1700.1258640000001</v>
      </c>
      <c r="BE2">
        <v>678669.28830000001</v>
      </c>
      <c r="BF2">
        <v>439295.93430000002</v>
      </c>
      <c r="BG2">
        <v>0</v>
      </c>
      <c r="BH2">
        <v>0</v>
      </c>
      <c r="BI2">
        <v>0</v>
      </c>
      <c r="BJ2">
        <v>0</v>
      </c>
    </row>
    <row r="3" spans="1:62" x14ac:dyDescent="0.25">
      <c r="A3">
        <v>2019</v>
      </c>
      <c r="B3">
        <v>610547.75670000003</v>
      </c>
      <c r="C3">
        <v>3460.3197850000001</v>
      </c>
      <c r="D3">
        <v>1503879.39</v>
      </c>
      <c r="E3">
        <v>756101.90560000006</v>
      </c>
      <c r="F3">
        <v>5721.7001620000001</v>
      </c>
      <c r="G3">
        <v>35790.326999999997</v>
      </c>
      <c r="H3">
        <v>371011.15340000001</v>
      </c>
      <c r="I3">
        <v>1154314.898</v>
      </c>
      <c r="J3">
        <v>21456.531080000001</v>
      </c>
      <c r="K3">
        <v>92572.732090000005</v>
      </c>
      <c r="L3">
        <v>44419.097679999999</v>
      </c>
      <c r="M3">
        <v>323493.07630000002</v>
      </c>
      <c r="N3">
        <v>0</v>
      </c>
      <c r="O3">
        <v>0</v>
      </c>
      <c r="P3">
        <v>50424.963239999997</v>
      </c>
      <c r="Q3">
        <v>95516.255390000006</v>
      </c>
      <c r="R3">
        <v>0</v>
      </c>
      <c r="S3">
        <v>210625.40979999999</v>
      </c>
      <c r="T3">
        <v>0</v>
      </c>
      <c r="U3">
        <v>7007.8950800000002</v>
      </c>
      <c r="V3">
        <v>1789.1922099999999</v>
      </c>
      <c r="W3">
        <v>10222.801589999999</v>
      </c>
      <c r="X3">
        <v>110064.27250000001</v>
      </c>
      <c r="Y3">
        <v>65856.490160000001</v>
      </c>
      <c r="Z3">
        <v>490302.2267</v>
      </c>
      <c r="AA3">
        <v>152003.6991</v>
      </c>
      <c r="AB3">
        <v>15938.83776</v>
      </c>
      <c r="AC3">
        <v>388887.9253</v>
      </c>
      <c r="AD3">
        <v>0</v>
      </c>
      <c r="AE3">
        <v>16113.703530000001</v>
      </c>
      <c r="AF3">
        <v>231.01667900000001</v>
      </c>
      <c r="AG3">
        <v>6499.7105369999999</v>
      </c>
      <c r="AH3">
        <v>1095.1763020000001</v>
      </c>
      <c r="AI3">
        <v>20511.77665</v>
      </c>
      <c r="AJ3">
        <v>2550.047947</v>
      </c>
      <c r="AK3">
        <v>7344.2983640000002</v>
      </c>
      <c r="AL3">
        <v>16280.03037</v>
      </c>
      <c r="AM3">
        <v>248690.3187</v>
      </c>
      <c r="AN3">
        <v>101123.1344</v>
      </c>
      <c r="AO3">
        <v>442576.12949999998</v>
      </c>
      <c r="AP3">
        <v>45948.662499999999</v>
      </c>
      <c r="AQ3">
        <v>6491.4782329999998</v>
      </c>
      <c r="AR3">
        <v>25545.603449999999</v>
      </c>
      <c r="AS3">
        <v>0</v>
      </c>
      <c r="AT3">
        <v>11684.495000000001</v>
      </c>
      <c r="AU3">
        <v>144815.3425</v>
      </c>
      <c r="AV3">
        <v>2496.6390449999999</v>
      </c>
      <c r="AW3">
        <v>3529.0098630000002</v>
      </c>
      <c r="AX3">
        <v>84148.139800000004</v>
      </c>
      <c r="AY3">
        <v>121885.3787</v>
      </c>
      <c r="AZ3">
        <v>946469.38269999996</v>
      </c>
      <c r="BA3">
        <v>77328.751860000004</v>
      </c>
      <c r="BB3">
        <v>80.460150209999995</v>
      </c>
      <c r="BC3">
        <v>471500.82880000002</v>
      </c>
      <c r="BD3">
        <v>1605.720411</v>
      </c>
      <c r="BE3">
        <v>705686.4608</v>
      </c>
      <c r="BF3">
        <v>394577.16830000002</v>
      </c>
      <c r="BG3">
        <v>0</v>
      </c>
      <c r="BH3">
        <v>0</v>
      </c>
      <c r="BI3">
        <v>0</v>
      </c>
      <c r="BJ3">
        <v>0</v>
      </c>
    </row>
    <row r="4" spans="1:62" x14ac:dyDescent="0.25">
      <c r="A4">
        <v>2018</v>
      </c>
      <c r="B4">
        <v>454157.47720000002</v>
      </c>
      <c r="C4">
        <v>3126.573347</v>
      </c>
      <c r="D4">
        <v>1386696.8929999999</v>
      </c>
      <c r="E4">
        <v>688038.52419999999</v>
      </c>
      <c r="F4">
        <v>5342.1298459999998</v>
      </c>
      <c r="G4">
        <v>33885.513599999998</v>
      </c>
      <c r="H4">
        <v>361726.84</v>
      </c>
      <c r="I4">
        <v>1089488.574</v>
      </c>
      <c r="J4">
        <v>20419.12428</v>
      </c>
      <c r="K4">
        <v>86905.187300000005</v>
      </c>
      <c r="L4">
        <v>41619.511700000003</v>
      </c>
      <c r="M4">
        <v>303126.59240000002</v>
      </c>
      <c r="N4">
        <v>0</v>
      </c>
      <c r="O4">
        <v>0</v>
      </c>
      <c r="P4">
        <v>46872.15307</v>
      </c>
      <c r="Q4">
        <v>69184.271139999997</v>
      </c>
      <c r="R4">
        <v>0</v>
      </c>
      <c r="S4">
        <v>209484.77859999999</v>
      </c>
      <c r="T4">
        <v>0</v>
      </c>
      <c r="U4">
        <v>6881.3883029999997</v>
      </c>
      <c r="V4">
        <v>1728.2405060000001</v>
      </c>
      <c r="W4">
        <v>8521.6437879999994</v>
      </c>
      <c r="X4">
        <v>116891.6333</v>
      </c>
      <c r="Y4">
        <v>49405.949419999997</v>
      </c>
      <c r="Z4">
        <v>379790.77850000001</v>
      </c>
      <c r="AA4">
        <v>113135.73510000001</v>
      </c>
      <c r="AB4">
        <v>15023.043600000001</v>
      </c>
      <c r="AC4">
        <v>351582.35220000002</v>
      </c>
      <c r="AD4">
        <v>0</v>
      </c>
      <c r="AE4">
        <v>15206.734340000001</v>
      </c>
      <c r="AF4">
        <v>399.8995074</v>
      </c>
      <c r="AG4">
        <v>566.28130520000002</v>
      </c>
      <c r="AH4">
        <v>2042.1001020000001</v>
      </c>
      <c r="AI4">
        <v>19679.643759999999</v>
      </c>
      <c r="AJ4">
        <v>1642.4592620000001</v>
      </c>
      <c r="AK4">
        <v>7021.6662679999999</v>
      </c>
      <c r="AL4">
        <v>11459.842860000001</v>
      </c>
      <c r="AM4">
        <v>245196.96179999999</v>
      </c>
      <c r="AN4">
        <v>91660.268150000004</v>
      </c>
      <c r="AO4">
        <v>265882.1263</v>
      </c>
      <c r="AP4">
        <v>45229.181850000001</v>
      </c>
      <c r="AQ4">
        <v>5788.5080550000002</v>
      </c>
      <c r="AR4">
        <v>25734.64645</v>
      </c>
      <c r="AS4">
        <v>0</v>
      </c>
      <c r="AT4">
        <v>11243.682419999999</v>
      </c>
      <c r="AU4">
        <v>130773.94349999999</v>
      </c>
      <c r="AV4">
        <v>2684.5614860000001</v>
      </c>
      <c r="AW4">
        <v>5716.1180770000001</v>
      </c>
      <c r="AX4">
        <v>74127.916740000001</v>
      </c>
      <c r="AY4">
        <v>112616.368</v>
      </c>
      <c r="AZ4">
        <v>879323.53579999995</v>
      </c>
      <c r="BA4">
        <v>74257.087109999993</v>
      </c>
      <c r="BB4">
        <v>57.66186725</v>
      </c>
      <c r="BC4">
        <v>426990.09409999999</v>
      </c>
      <c r="BD4">
        <v>1519.7439710000001</v>
      </c>
      <c r="BE4">
        <v>611954.88899999997</v>
      </c>
      <c r="BF4">
        <v>355445.49609999999</v>
      </c>
      <c r="BG4">
        <v>0</v>
      </c>
      <c r="BH4">
        <v>0</v>
      </c>
      <c r="BI4">
        <v>0</v>
      </c>
      <c r="BJ4">
        <v>0</v>
      </c>
    </row>
    <row r="5" spans="1:62" x14ac:dyDescent="0.25">
      <c r="A5">
        <v>2017</v>
      </c>
      <c r="B5">
        <v>426490.04470000003</v>
      </c>
      <c r="C5">
        <v>2905.1603369999998</v>
      </c>
      <c r="D5">
        <v>1295027.635</v>
      </c>
      <c r="E5">
        <v>629640.39500000002</v>
      </c>
      <c r="F5">
        <v>5280.0357610000001</v>
      </c>
      <c r="G5">
        <v>32491.729619999998</v>
      </c>
      <c r="H5">
        <v>345952.4803</v>
      </c>
      <c r="I5">
        <v>1018629.8689999999</v>
      </c>
      <c r="J5">
        <v>17891.048439999999</v>
      </c>
      <c r="K5">
        <v>83050.704870000001</v>
      </c>
      <c r="L5">
        <v>37711.291149999997</v>
      </c>
      <c r="M5">
        <v>274870.88689999998</v>
      </c>
      <c r="N5">
        <v>0</v>
      </c>
      <c r="O5">
        <v>0</v>
      </c>
      <c r="P5">
        <v>43635.495190000001</v>
      </c>
      <c r="Q5">
        <v>80811.779829999999</v>
      </c>
      <c r="R5">
        <v>0</v>
      </c>
      <c r="S5">
        <v>217479.2389</v>
      </c>
      <c r="T5">
        <v>0</v>
      </c>
      <c r="U5">
        <v>9095.4896829999998</v>
      </c>
      <c r="V5">
        <v>1627.027591</v>
      </c>
      <c r="W5">
        <v>8478.5700539999998</v>
      </c>
      <c r="X5">
        <v>115887.15300000001</v>
      </c>
      <c r="Y5">
        <v>52336.559179999997</v>
      </c>
      <c r="Z5">
        <v>332189.92629999999</v>
      </c>
      <c r="AA5">
        <v>97701.949810000006</v>
      </c>
      <c r="AB5">
        <v>14128.449140000001</v>
      </c>
      <c r="AC5">
        <v>342166.65769999998</v>
      </c>
      <c r="AD5">
        <v>0</v>
      </c>
      <c r="AE5">
        <v>14291.269</v>
      </c>
      <c r="AF5">
        <v>414.05417410000001</v>
      </c>
      <c r="AG5">
        <v>701.77152790000002</v>
      </c>
      <c r="AH5">
        <v>1164.7905370000001</v>
      </c>
      <c r="AI5">
        <v>18420.92844</v>
      </c>
      <c r="AJ5">
        <v>1764.263183</v>
      </c>
      <c r="AK5">
        <v>17316.290540000002</v>
      </c>
      <c r="AL5">
        <v>63183.720289999997</v>
      </c>
      <c r="AM5">
        <v>242898.92550000001</v>
      </c>
      <c r="AN5">
        <v>95513.925319999995</v>
      </c>
      <c r="AO5">
        <v>308305.31209999998</v>
      </c>
      <c r="AP5">
        <v>45649.811099999999</v>
      </c>
      <c r="AQ5">
        <v>5368.5026099999995</v>
      </c>
      <c r="AR5">
        <v>29207.23272</v>
      </c>
      <c r="AS5">
        <v>0</v>
      </c>
      <c r="AT5">
        <v>6803.8381659999995</v>
      </c>
      <c r="AU5">
        <v>120531.8039</v>
      </c>
      <c r="AV5">
        <v>2835.1883929999999</v>
      </c>
      <c r="AW5">
        <v>28133.505089999999</v>
      </c>
      <c r="AX5">
        <v>68525.631250000006</v>
      </c>
      <c r="AY5">
        <v>116492.9109</v>
      </c>
      <c r="AZ5">
        <v>877917.05539999995</v>
      </c>
      <c r="BA5">
        <v>70762.872600000002</v>
      </c>
      <c r="BB5">
        <v>24.394303399999998</v>
      </c>
      <c r="BC5">
        <v>400803.24550000002</v>
      </c>
      <c r="BD5">
        <v>1433.1238989999999</v>
      </c>
      <c r="BE5">
        <v>597673.10860000004</v>
      </c>
      <c r="BF5">
        <v>339361.73869999999</v>
      </c>
      <c r="BG5">
        <v>0</v>
      </c>
      <c r="BH5">
        <v>0</v>
      </c>
      <c r="BI5">
        <v>0</v>
      </c>
      <c r="BJ5">
        <v>0</v>
      </c>
    </row>
    <row r="6" spans="1:62" x14ac:dyDescent="0.25">
      <c r="A6">
        <v>2016</v>
      </c>
      <c r="B6">
        <v>383912.17820000002</v>
      </c>
      <c r="C6">
        <v>2828.5109990000001</v>
      </c>
      <c r="D6">
        <v>1169218.6200000001</v>
      </c>
      <c r="E6">
        <v>593173.1398</v>
      </c>
      <c r="F6">
        <v>4846.0061649999998</v>
      </c>
      <c r="G6">
        <v>32680.45076</v>
      </c>
      <c r="H6">
        <v>322988.90720000002</v>
      </c>
      <c r="I6">
        <v>1022411.31</v>
      </c>
      <c r="J6">
        <v>16892.850399999999</v>
      </c>
      <c r="K6">
        <v>87657.422250000003</v>
      </c>
      <c r="L6">
        <v>37608.185530000002</v>
      </c>
      <c r="M6">
        <v>248127.4497</v>
      </c>
      <c r="N6">
        <v>0</v>
      </c>
      <c r="O6">
        <v>0</v>
      </c>
      <c r="P6">
        <v>45958.794959999999</v>
      </c>
      <c r="Q6">
        <v>83752.127829999998</v>
      </c>
      <c r="R6">
        <v>0</v>
      </c>
      <c r="S6">
        <v>223283.97519999999</v>
      </c>
      <c r="T6">
        <v>18371.801200000002</v>
      </c>
      <c r="U6">
        <v>14887.266600000001</v>
      </c>
      <c r="V6">
        <v>1565.363286</v>
      </c>
      <c r="W6">
        <v>8003.6282140000003</v>
      </c>
      <c r="X6">
        <v>102927.4299</v>
      </c>
      <c r="Y6">
        <v>51106.56897</v>
      </c>
      <c r="Z6">
        <v>270771.80459999997</v>
      </c>
      <c r="AA6">
        <v>78739.682220000002</v>
      </c>
      <c r="AB6">
        <v>12388.789839999999</v>
      </c>
      <c r="AC6">
        <v>0</v>
      </c>
      <c r="AD6">
        <v>0</v>
      </c>
      <c r="AE6">
        <v>13069.10845</v>
      </c>
      <c r="AF6">
        <v>592.37560250000001</v>
      </c>
      <c r="AG6">
        <v>724.70150139999998</v>
      </c>
      <c r="AH6">
        <v>1202.7514100000001</v>
      </c>
      <c r="AI6">
        <v>16758.586060000001</v>
      </c>
      <c r="AJ6">
        <v>1099.678371</v>
      </c>
      <c r="AK6">
        <v>80569.091050000003</v>
      </c>
      <c r="AL6">
        <v>3029.5266900000001</v>
      </c>
      <c r="AM6">
        <v>268640.16600000003</v>
      </c>
      <c r="AN6">
        <v>0</v>
      </c>
      <c r="AO6">
        <v>322791.01449999999</v>
      </c>
      <c r="AP6">
        <v>49530.359949999998</v>
      </c>
      <c r="AQ6">
        <v>4885.1536619999997</v>
      </c>
      <c r="AR6">
        <v>25582.81871</v>
      </c>
      <c r="AS6">
        <v>0</v>
      </c>
      <c r="AT6">
        <v>8106.8317520000001</v>
      </c>
      <c r="AU6">
        <v>102663.0888</v>
      </c>
      <c r="AV6">
        <v>2871.7438630000001</v>
      </c>
      <c r="AW6">
        <v>7201.4879490000003</v>
      </c>
      <c r="AX6">
        <v>64475.773650000003</v>
      </c>
      <c r="AY6">
        <v>95256.802960000001</v>
      </c>
      <c r="AZ6">
        <v>843799.52289999998</v>
      </c>
      <c r="BA6">
        <v>66100.441399999996</v>
      </c>
      <c r="BB6">
        <v>0</v>
      </c>
      <c r="BC6">
        <v>375974.66119999997</v>
      </c>
      <c r="BD6">
        <v>1313.4813819999999</v>
      </c>
      <c r="BE6">
        <v>542307.45739999996</v>
      </c>
      <c r="BF6">
        <v>263460.33049999998</v>
      </c>
      <c r="BG6">
        <v>290577.53570000001</v>
      </c>
      <c r="BH6">
        <v>0</v>
      </c>
      <c r="BI6">
        <v>0</v>
      </c>
      <c r="BJ6">
        <v>0</v>
      </c>
    </row>
    <row r="7" spans="1:62" x14ac:dyDescent="0.25">
      <c r="A7">
        <v>2015</v>
      </c>
      <c r="B7">
        <v>354824.5355</v>
      </c>
      <c r="C7">
        <v>2699.3186810000002</v>
      </c>
      <c r="D7">
        <v>1064716.4509999999</v>
      </c>
      <c r="E7">
        <v>487940.3603</v>
      </c>
      <c r="F7">
        <v>4709.4272680000004</v>
      </c>
      <c r="G7">
        <v>30249.973150000002</v>
      </c>
      <c r="H7">
        <v>301641.53970000002</v>
      </c>
      <c r="I7">
        <v>851669.32059999998</v>
      </c>
      <c r="J7">
        <v>15110.710300000001</v>
      </c>
      <c r="K7">
        <v>82204.552970000004</v>
      </c>
      <c r="L7">
        <v>31935.33541</v>
      </c>
      <c r="M7">
        <v>217641.022</v>
      </c>
      <c r="N7">
        <v>0</v>
      </c>
      <c r="O7">
        <v>0</v>
      </c>
      <c r="P7">
        <v>46806.113019999997</v>
      </c>
      <c r="Q7">
        <v>54795.464019999999</v>
      </c>
      <c r="R7">
        <v>0</v>
      </c>
      <c r="S7">
        <v>209893.41699999999</v>
      </c>
      <c r="T7">
        <v>9952.7661590000007</v>
      </c>
      <c r="U7">
        <v>1881.4176440000001</v>
      </c>
      <c r="V7">
        <v>1537.0699509999999</v>
      </c>
      <c r="W7">
        <v>7251.0715410000003</v>
      </c>
      <c r="X7">
        <v>98179.016399999993</v>
      </c>
      <c r="Y7">
        <v>48287.766929999998</v>
      </c>
      <c r="Z7">
        <v>238447.70980000001</v>
      </c>
      <c r="AA7">
        <v>76509.274699999994</v>
      </c>
      <c r="AB7">
        <v>11449.58447</v>
      </c>
      <c r="AC7">
        <v>0</v>
      </c>
      <c r="AD7">
        <v>0</v>
      </c>
      <c r="AE7">
        <v>11412.73618</v>
      </c>
      <c r="AF7">
        <v>730.34327229999997</v>
      </c>
      <c r="AG7">
        <v>695.19688440000004</v>
      </c>
      <c r="AH7">
        <v>1289.5240200000001</v>
      </c>
      <c r="AI7">
        <v>15835.27483</v>
      </c>
      <c r="AJ7">
        <v>951.03642230000003</v>
      </c>
      <c r="AK7">
        <v>0</v>
      </c>
      <c r="AL7">
        <v>7330.3485289999999</v>
      </c>
      <c r="AM7">
        <v>238974.0821</v>
      </c>
      <c r="AN7">
        <v>70104.022769999996</v>
      </c>
      <c r="AO7">
        <v>232785.8014</v>
      </c>
      <c r="AP7">
        <v>39308.195610000002</v>
      </c>
      <c r="AQ7">
        <v>4561.5606900000002</v>
      </c>
      <c r="AR7">
        <v>23652.288229999998</v>
      </c>
      <c r="AS7">
        <v>0</v>
      </c>
      <c r="AT7">
        <v>8449.2106249999997</v>
      </c>
      <c r="AU7">
        <v>87888.059250000006</v>
      </c>
      <c r="AV7">
        <v>2875.9652860000001</v>
      </c>
      <c r="AW7">
        <v>6962.9980020000003</v>
      </c>
      <c r="AX7">
        <v>58088.689330000001</v>
      </c>
      <c r="AY7">
        <v>86183.542939999999</v>
      </c>
      <c r="AZ7">
        <v>671830.10129999998</v>
      </c>
      <c r="BA7">
        <v>61595.077660000003</v>
      </c>
      <c r="BB7">
        <v>0</v>
      </c>
      <c r="BC7">
        <v>343988.92330000002</v>
      </c>
      <c r="BD7">
        <v>1229.402791</v>
      </c>
      <c r="BE7">
        <v>510374.30690000003</v>
      </c>
      <c r="BF7">
        <v>208285.5998</v>
      </c>
      <c r="BG7">
        <v>247675.0747</v>
      </c>
      <c r="BH7">
        <v>0</v>
      </c>
      <c r="BI7">
        <v>0</v>
      </c>
      <c r="BJ7">
        <v>0</v>
      </c>
    </row>
    <row r="8" spans="1:62" x14ac:dyDescent="0.25">
      <c r="A8">
        <v>2014</v>
      </c>
      <c r="B8">
        <v>294268.45159999997</v>
      </c>
      <c r="C8">
        <v>0</v>
      </c>
      <c r="D8">
        <v>967585.47770000005</v>
      </c>
      <c r="E8">
        <v>398503.55040000001</v>
      </c>
      <c r="F8">
        <v>0</v>
      </c>
      <c r="G8">
        <v>0</v>
      </c>
      <c r="H8">
        <v>311042.21100000001</v>
      </c>
      <c r="I8">
        <v>785686.98860000004</v>
      </c>
      <c r="J8">
        <v>0</v>
      </c>
      <c r="K8">
        <v>76461.901299999998</v>
      </c>
      <c r="L8">
        <v>0</v>
      </c>
      <c r="M8">
        <v>188489.53159999999</v>
      </c>
      <c r="N8">
        <v>0</v>
      </c>
      <c r="O8">
        <v>0</v>
      </c>
      <c r="P8">
        <v>0</v>
      </c>
      <c r="Q8">
        <v>59809.506840000002</v>
      </c>
      <c r="R8">
        <v>0</v>
      </c>
      <c r="S8">
        <v>200485.0503</v>
      </c>
      <c r="T8">
        <v>0</v>
      </c>
      <c r="U8">
        <v>0</v>
      </c>
      <c r="V8">
        <v>0</v>
      </c>
      <c r="W8">
        <v>0</v>
      </c>
      <c r="X8">
        <v>90202.069109999997</v>
      </c>
      <c r="Y8">
        <v>41799.163780000003</v>
      </c>
      <c r="Z8">
        <v>210675.33290000001</v>
      </c>
      <c r="AA8">
        <v>67302.438529999999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186878.4834</v>
      </c>
      <c r="AN8">
        <v>49762.786509999998</v>
      </c>
      <c r="AO8">
        <v>204363.1827</v>
      </c>
      <c r="AP8">
        <v>0</v>
      </c>
      <c r="AQ8">
        <v>0</v>
      </c>
      <c r="AR8">
        <v>0</v>
      </c>
      <c r="AS8">
        <v>0</v>
      </c>
      <c r="AT8">
        <v>0</v>
      </c>
      <c r="AU8">
        <v>69113.891560000004</v>
      </c>
      <c r="AV8">
        <v>0</v>
      </c>
      <c r="AW8">
        <v>0</v>
      </c>
      <c r="AX8">
        <v>55237.854720000003</v>
      </c>
      <c r="AY8">
        <v>79197.681760000007</v>
      </c>
      <c r="AZ8">
        <v>291053.46519999998</v>
      </c>
      <c r="BA8">
        <v>56632.236140000001</v>
      </c>
      <c r="BB8">
        <v>0</v>
      </c>
      <c r="BC8">
        <v>314447.54210000002</v>
      </c>
      <c r="BD8">
        <v>0</v>
      </c>
      <c r="BE8">
        <v>484423.924</v>
      </c>
      <c r="BF8">
        <v>167179.5453</v>
      </c>
      <c r="BG8">
        <v>231051.0748</v>
      </c>
      <c r="BH8">
        <v>580227.56969999999</v>
      </c>
      <c r="BI8">
        <v>0</v>
      </c>
      <c r="BJ8">
        <v>0</v>
      </c>
    </row>
    <row r="9" spans="1:62" x14ac:dyDescent="0.25">
      <c r="A9">
        <v>2013</v>
      </c>
      <c r="B9">
        <v>282444.95079999999</v>
      </c>
      <c r="C9">
        <v>0</v>
      </c>
      <c r="D9">
        <v>858463.20790000004</v>
      </c>
      <c r="E9">
        <v>355734.99680000002</v>
      </c>
      <c r="F9">
        <v>0</v>
      </c>
      <c r="G9">
        <v>0</v>
      </c>
      <c r="H9">
        <v>279437.46610000002</v>
      </c>
      <c r="I9">
        <v>710040.61239999998</v>
      </c>
      <c r="J9">
        <v>0</v>
      </c>
      <c r="K9">
        <v>68730.601540000003</v>
      </c>
      <c r="L9">
        <v>0</v>
      </c>
      <c r="M9">
        <v>160845.98430000001</v>
      </c>
      <c r="N9">
        <v>0</v>
      </c>
      <c r="O9">
        <v>0</v>
      </c>
      <c r="P9">
        <v>0</v>
      </c>
      <c r="Q9">
        <v>57004.281020000002</v>
      </c>
      <c r="R9">
        <v>382569.87540000002</v>
      </c>
      <c r="S9">
        <v>183570.51569999999</v>
      </c>
      <c r="T9">
        <v>0</v>
      </c>
      <c r="U9">
        <v>0</v>
      </c>
      <c r="V9">
        <v>0</v>
      </c>
      <c r="W9">
        <v>0</v>
      </c>
      <c r="X9">
        <v>88588.925080000001</v>
      </c>
      <c r="Y9">
        <v>0</v>
      </c>
      <c r="Z9">
        <v>209005.86410000001</v>
      </c>
      <c r="AA9">
        <v>66735.014330000005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136535.03899999999</v>
      </c>
      <c r="AN9">
        <v>42557.410060000002</v>
      </c>
      <c r="AO9">
        <v>146165.67790000001</v>
      </c>
      <c r="AP9">
        <v>0</v>
      </c>
      <c r="AQ9">
        <v>0</v>
      </c>
      <c r="AR9">
        <v>0</v>
      </c>
      <c r="AS9">
        <v>0</v>
      </c>
      <c r="AT9">
        <v>0</v>
      </c>
      <c r="AU9">
        <v>52920.838400000001</v>
      </c>
      <c r="AV9">
        <v>0</v>
      </c>
      <c r="AW9">
        <v>0</v>
      </c>
      <c r="AX9">
        <v>50451.516170000003</v>
      </c>
      <c r="AY9">
        <v>69676.388789999997</v>
      </c>
      <c r="AZ9">
        <v>0</v>
      </c>
      <c r="BA9">
        <v>49961.56033</v>
      </c>
      <c r="BB9">
        <v>0</v>
      </c>
      <c r="BC9">
        <v>283371.49099999998</v>
      </c>
      <c r="BD9">
        <v>0</v>
      </c>
      <c r="BE9">
        <v>447513.74690000003</v>
      </c>
      <c r="BF9">
        <v>125102.1547</v>
      </c>
      <c r="BG9">
        <v>198498.20060000001</v>
      </c>
      <c r="BH9">
        <v>519543.68060000002</v>
      </c>
      <c r="BI9">
        <v>0</v>
      </c>
      <c r="BJ9">
        <v>0</v>
      </c>
    </row>
    <row r="10" spans="1:62" x14ac:dyDescent="0.25">
      <c r="A10">
        <v>2012</v>
      </c>
      <c r="B10">
        <v>242288.36919999999</v>
      </c>
      <c r="C10">
        <v>0</v>
      </c>
      <c r="D10">
        <v>725423.61219999997</v>
      </c>
      <c r="E10">
        <v>349407.42180000001</v>
      </c>
      <c r="F10">
        <v>0</v>
      </c>
      <c r="G10">
        <v>0</v>
      </c>
      <c r="H10">
        <v>225830.21960000001</v>
      </c>
      <c r="I10">
        <v>630097.95369999995</v>
      </c>
      <c r="J10">
        <v>0</v>
      </c>
      <c r="K10">
        <v>60975.32144</v>
      </c>
      <c r="L10">
        <v>0</v>
      </c>
      <c r="M10">
        <v>136964.8095</v>
      </c>
      <c r="N10">
        <v>0</v>
      </c>
      <c r="O10">
        <v>0</v>
      </c>
      <c r="P10">
        <v>0</v>
      </c>
      <c r="Q10">
        <v>50025.101360000001</v>
      </c>
      <c r="R10">
        <v>258744.4762</v>
      </c>
      <c r="S10">
        <v>164222.72380000001</v>
      </c>
      <c r="T10">
        <v>0</v>
      </c>
      <c r="U10">
        <v>0</v>
      </c>
      <c r="V10">
        <v>0</v>
      </c>
      <c r="W10">
        <v>0</v>
      </c>
      <c r="X10">
        <v>92252.961420000007</v>
      </c>
      <c r="Y10">
        <v>0</v>
      </c>
      <c r="Z10">
        <v>191699.91010000001</v>
      </c>
      <c r="AA10">
        <v>60807.483809999998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110021.34600000001</v>
      </c>
      <c r="AN10">
        <v>35562.144010000004</v>
      </c>
      <c r="AO10">
        <v>117305.0615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46054.004840000001</v>
      </c>
      <c r="AV10">
        <v>0</v>
      </c>
      <c r="AW10">
        <v>0</v>
      </c>
      <c r="AX10">
        <v>46128.150580000001</v>
      </c>
      <c r="AY10">
        <v>61957.29623</v>
      </c>
      <c r="AZ10">
        <v>0</v>
      </c>
      <c r="BA10">
        <v>43918.535020000003</v>
      </c>
      <c r="BB10">
        <v>0</v>
      </c>
      <c r="BC10">
        <v>251656.9405</v>
      </c>
      <c r="BD10">
        <v>0</v>
      </c>
      <c r="BE10">
        <v>413746.66879999998</v>
      </c>
      <c r="BF10">
        <v>105892.51029999999</v>
      </c>
      <c r="BG10">
        <v>190803.29370000001</v>
      </c>
      <c r="BH10">
        <v>471823.68430000002</v>
      </c>
      <c r="BI10">
        <v>0</v>
      </c>
      <c r="BJ10">
        <v>0</v>
      </c>
    </row>
    <row r="11" spans="1:62" x14ac:dyDescent="0.25">
      <c r="A11">
        <v>2011</v>
      </c>
      <c r="B11">
        <v>238416.80850000001</v>
      </c>
      <c r="C11">
        <v>0</v>
      </c>
      <c r="D11">
        <v>623560.76199999999</v>
      </c>
      <c r="E11">
        <v>344432.64429999999</v>
      </c>
      <c r="F11">
        <v>0</v>
      </c>
      <c r="G11">
        <v>0</v>
      </c>
      <c r="H11">
        <v>187953.2991</v>
      </c>
      <c r="I11">
        <v>552235.3284</v>
      </c>
      <c r="J11">
        <v>0</v>
      </c>
      <c r="K11">
        <v>53452.879979999998</v>
      </c>
      <c r="L11">
        <v>0</v>
      </c>
      <c r="M11">
        <v>113455.21859999999</v>
      </c>
      <c r="N11">
        <v>0</v>
      </c>
      <c r="O11">
        <v>0</v>
      </c>
      <c r="P11">
        <v>0</v>
      </c>
      <c r="Q11">
        <v>43898.243410000003</v>
      </c>
      <c r="R11">
        <v>203279.82310000001</v>
      </c>
      <c r="S11">
        <v>145011.45240000001</v>
      </c>
      <c r="T11">
        <v>0</v>
      </c>
      <c r="U11">
        <v>0</v>
      </c>
      <c r="V11">
        <v>0</v>
      </c>
      <c r="W11">
        <v>0</v>
      </c>
      <c r="X11">
        <v>90844.695290000003</v>
      </c>
      <c r="Y11">
        <v>0</v>
      </c>
      <c r="Z11">
        <v>164897.32199999999</v>
      </c>
      <c r="AA11">
        <v>52392.683199999999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83497.643769999995</v>
      </c>
      <c r="AN11">
        <v>30243.348590000001</v>
      </c>
      <c r="AO11">
        <v>93828.016399999993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36486.955840000002</v>
      </c>
      <c r="AV11">
        <v>0</v>
      </c>
      <c r="AW11">
        <v>0</v>
      </c>
      <c r="AX11">
        <v>41267.689290000002</v>
      </c>
      <c r="AY11">
        <v>53382.858209999999</v>
      </c>
      <c r="AZ11">
        <v>0</v>
      </c>
      <c r="BA11">
        <v>38790.841959999998</v>
      </c>
      <c r="BB11">
        <v>0</v>
      </c>
      <c r="BC11">
        <v>218269.0379</v>
      </c>
      <c r="BD11">
        <v>0</v>
      </c>
      <c r="BE11">
        <v>375965.44839999999</v>
      </c>
      <c r="BF11">
        <v>74405.687619999997</v>
      </c>
      <c r="BG11">
        <v>173543.27410000001</v>
      </c>
      <c r="BH11">
        <v>411698.03749999998</v>
      </c>
      <c r="BI11">
        <v>0</v>
      </c>
      <c r="BJ11">
        <v>0</v>
      </c>
    </row>
    <row r="12" spans="1:62" x14ac:dyDescent="0.25">
      <c r="A12">
        <v>2010</v>
      </c>
      <c r="B12">
        <v>222390.63500000001</v>
      </c>
      <c r="C12">
        <v>0</v>
      </c>
      <c r="D12">
        <v>528060.07039999997</v>
      </c>
      <c r="E12">
        <v>275316.12040000001</v>
      </c>
      <c r="F12">
        <v>0</v>
      </c>
      <c r="G12">
        <v>0</v>
      </c>
      <c r="H12">
        <v>172500.05499999999</v>
      </c>
      <c r="I12">
        <v>484550.10940000002</v>
      </c>
      <c r="J12">
        <v>0</v>
      </c>
      <c r="K12">
        <v>46377.389380000001</v>
      </c>
      <c r="L12">
        <v>0</v>
      </c>
      <c r="M12">
        <v>90826.711150000003</v>
      </c>
      <c r="N12">
        <v>0</v>
      </c>
      <c r="O12">
        <v>0</v>
      </c>
      <c r="P12">
        <v>0</v>
      </c>
      <c r="Q12">
        <v>41514.212820000001</v>
      </c>
      <c r="R12">
        <v>153697.67329999999</v>
      </c>
      <c r="S12">
        <v>126691.89870000001</v>
      </c>
      <c r="T12">
        <v>0</v>
      </c>
      <c r="U12">
        <v>0</v>
      </c>
      <c r="V12">
        <v>0</v>
      </c>
      <c r="W12">
        <v>0</v>
      </c>
      <c r="X12">
        <v>87692.679910000006</v>
      </c>
      <c r="Y12">
        <v>0</v>
      </c>
      <c r="Z12">
        <v>142492.1177</v>
      </c>
      <c r="AA12">
        <v>44417.800730000003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62235.009980000003</v>
      </c>
      <c r="AN12">
        <v>0</v>
      </c>
      <c r="AO12">
        <v>75627.454129999998</v>
      </c>
      <c r="AP12">
        <v>26985.732260000001</v>
      </c>
      <c r="AQ12">
        <v>0</v>
      </c>
      <c r="AR12">
        <v>0</v>
      </c>
      <c r="AS12">
        <v>0</v>
      </c>
      <c r="AT12">
        <v>0</v>
      </c>
      <c r="AU12">
        <v>28961.02852</v>
      </c>
      <c r="AV12">
        <v>0</v>
      </c>
      <c r="AW12">
        <v>0</v>
      </c>
      <c r="AX12">
        <v>35351.945650000001</v>
      </c>
      <c r="AY12">
        <v>46046.205679999999</v>
      </c>
      <c r="AZ12">
        <v>0</v>
      </c>
      <c r="BA12">
        <v>34363.782399999996</v>
      </c>
      <c r="BB12">
        <v>0</v>
      </c>
      <c r="BC12">
        <v>184924.6433</v>
      </c>
      <c r="BD12">
        <v>0</v>
      </c>
      <c r="BE12">
        <v>337461.09700000001</v>
      </c>
      <c r="BF12">
        <v>52585.782099999997</v>
      </c>
      <c r="BG12">
        <v>155865.81460000001</v>
      </c>
      <c r="BH12">
        <v>366688.32400000002</v>
      </c>
      <c r="BI12">
        <v>0</v>
      </c>
      <c r="BJ12">
        <v>0</v>
      </c>
    </row>
    <row r="13" spans="1:62" x14ac:dyDescent="0.25">
      <c r="A13">
        <v>2009</v>
      </c>
      <c r="B13">
        <v>191522.5477</v>
      </c>
      <c r="C13">
        <v>0</v>
      </c>
      <c r="D13">
        <v>450748.4215</v>
      </c>
      <c r="E13">
        <v>240647.95449999999</v>
      </c>
      <c r="F13">
        <v>0</v>
      </c>
      <c r="G13">
        <v>0</v>
      </c>
      <c r="H13">
        <v>145323.07889999999</v>
      </c>
      <c r="I13">
        <v>434740.6151</v>
      </c>
      <c r="J13">
        <v>0</v>
      </c>
      <c r="K13">
        <v>40457.934939999999</v>
      </c>
      <c r="L13">
        <v>0</v>
      </c>
      <c r="M13">
        <v>76256.030939999997</v>
      </c>
      <c r="N13">
        <v>0</v>
      </c>
      <c r="O13">
        <v>0</v>
      </c>
      <c r="P13">
        <v>0</v>
      </c>
      <c r="Q13">
        <v>35862.058440000001</v>
      </c>
      <c r="R13">
        <v>134026.8143</v>
      </c>
      <c r="S13">
        <v>112790.4834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33271.96185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51187.949390000002</v>
      </c>
      <c r="AN13">
        <v>23406.334409999999</v>
      </c>
      <c r="AO13">
        <v>0</v>
      </c>
      <c r="AP13">
        <v>26045.2156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31364.427749999999</v>
      </c>
      <c r="AY13">
        <v>39102.807050000003</v>
      </c>
      <c r="AZ13">
        <v>125193.5963</v>
      </c>
      <c r="BA13">
        <v>31631.67467</v>
      </c>
      <c r="BB13">
        <v>0</v>
      </c>
      <c r="BC13">
        <v>163484.50320000001</v>
      </c>
      <c r="BD13">
        <v>0</v>
      </c>
      <c r="BE13">
        <v>303809.11450000003</v>
      </c>
      <c r="BF13">
        <v>33360.161229999998</v>
      </c>
      <c r="BG13">
        <v>146115.07399999999</v>
      </c>
      <c r="BH13">
        <v>327974.72409999999</v>
      </c>
      <c r="BI13">
        <v>90067.715559999997</v>
      </c>
      <c r="BJ13">
        <v>64568.800730000003</v>
      </c>
    </row>
    <row r="14" spans="1:62" x14ac:dyDescent="0.25">
      <c r="A14">
        <v>2008</v>
      </c>
      <c r="B14">
        <v>182492.3235</v>
      </c>
      <c r="C14">
        <v>0</v>
      </c>
      <c r="D14">
        <v>398571.93489999999</v>
      </c>
      <c r="E14">
        <v>221754.8002</v>
      </c>
      <c r="F14">
        <v>0</v>
      </c>
      <c r="G14">
        <v>0</v>
      </c>
      <c r="H14">
        <v>119445.0797</v>
      </c>
      <c r="I14">
        <v>402729.35450000002</v>
      </c>
      <c r="J14">
        <v>0</v>
      </c>
      <c r="K14">
        <v>36339.791599999997</v>
      </c>
      <c r="L14">
        <v>0</v>
      </c>
      <c r="M14">
        <v>64681.98371</v>
      </c>
      <c r="N14">
        <v>0</v>
      </c>
      <c r="O14">
        <v>0</v>
      </c>
      <c r="P14">
        <v>0</v>
      </c>
      <c r="Q14">
        <v>30402.035049999999</v>
      </c>
      <c r="R14">
        <v>116250.2148</v>
      </c>
      <c r="S14">
        <v>103009.23759999999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25574.973979999999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44781.137880000002</v>
      </c>
      <c r="AN14">
        <v>22740.85122</v>
      </c>
      <c r="AO14">
        <v>0</v>
      </c>
      <c r="AP14">
        <v>24893.619129999999</v>
      </c>
      <c r="AQ14">
        <v>0</v>
      </c>
      <c r="AR14">
        <v>0</v>
      </c>
      <c r="AS14">
        <v>0</v>
      </c>
      <c r="AT14">
        <v>0</v>
      </c>
      <c r="AU14">
        <v>15412.86318</v>
      </c>
      <c r="AV14">
        <v>0</v>
      </c>
      <c r="AW14">
        <v>0</v>
      </c>
      <c r="AX14">
        <v>28610.147649999999</v>
      </c>
      <c r="AY14">
        <v>35893.505720000001</v>
      </c>
      <c r="AZ14">
        <v>107609.87330000001</v>
      </c>
      <c r="BA14">
        <v>29867.08772</v>
      </c>
      <c r="BB14">
        <v>0</v>
      </c>
      <c r="BC14">
        <v>148893.17819999999</v>
      </c>
      <c r="BD14">
        <v>0</v>
      </c>
      <c r="BE14">
        <v>275019.11660000001</v>
      </c>
      <c r="BF14">
        <v>0</v>
      </c>
      <c r="BG14">
        <v>136151.391</v>
      </c>
      <c r="BH14">
        <v>304543.60330000002</v>
      </c>
      <c r="BI14">
        <v>93439.73904</v>
      </c>
      <c r="BJ14">
        <v>56722.156560000003</v>
      </c>
    </row>
    <row r="15" spans="1:62" x14ac:dyDescent="0.25">
      <c r="A15">
        <v>2007</v>
      </c>
      <c r="B15">
        <v>151983.2954</v>
      </c>
      <c r="C15">
        <v>0</v>
      </c>
      <c r="D15">
        <v>349407.54220000003</v>
      </c>
      <c r="E15">
        <v>146504.2856</v>
      </c>
      <c r="F15">
        <v>0</v>
      </c>
      <c r="G15">
        <v>0</v>
      </c>
      <c r="H15">
        <v>102574.4394</v>
      </c>
      <c r="I15">
        <v>363974.57380000001</v>
      </c>
      <c r="J15">
        <v>0</v>
      </c>
      <c r="K15">
        <v>33043.823880000004</v>
      </c>
      <c r="L15">
        <v>0</v>
      </c>
      <c r="M15">
        <v>51574.305899999999</v>
      </c>
      <c r="N15">
        <v>0</v>
      </c>
      <c r="O15">
        <v>0</v>
      </c>
      <c r="P15">
        <v>0</v>
      </c>
      <c r="Q15">
        <v>32316.231599999999</v>
      </c>
      <c r="R15">
        <v>94009.177150000003</v>
      </c>
      <c r="S15">
        <v>90916.374230000001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21221.224630000001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39959.622210000001</v>
      </c>
      <c r="AN15">
        <v>20043.785110000001</v>
      </c>
      <c r="AO15">
        <v>0</v>
      </c>
      <c r="AP15">
        <v>24439.732019999999</v>
      </c>
      <c r="AQ15">
        <v>0</v>
      </c>
      <c r="AR15">
        <v>0</v>
      </c>
      <c r="AS15">
        <v>0</v>
      </c>
      <c r="AT15">
        <v>0</v>
      </c>
      <c r="AU15">
        <v>14343.66086</v>
      </c>
      <c r="AV15">
        <v>0</v>
      </c>
      <c r="AW15">
        <v>0</v>
      </c>
      <c r="AX15">
        <v>25740.831620000001</v>
      </c>
      <c r="AY15">
        <v>33039.392079999998</v>
      </c>
      <c r="AZ15">
        <v>117985.24310000001</v>
      </c>
      <c r="BA15">
        <v>28786.132239999999</v>
      </c>
      <c r="BB15">
        <v>0</v>
      </c>
      <c r="BC15">
        <v>133130.03719999999</v>
      </c>
      <c r="BD15">
        <v>0</v>
      </c>
      <c r="BE15">
        <v>238065.09169999999</v>
      </c>
      <c r="BF15">
        <v>0</v>
      </c>
      <c r="BG15">
        <v>126896.32060000001</v>
      </c>
      <c r="BH15">
        <v>275589.76130000001</v>
      </c>
      <c r="BI15">
        <v>99061.100940000004</v>
      </c>
      <c r="BJ15">
        <v>46884.015149999999</v>
      </c>
    </row>
  </sheetData>
  <autoFilter ref="A1:BJ15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BK10"/>
  <sheetViews>
    <sheetView showGridLines="0" tabSelected="1" workbookViewId="0">
      <selection activeCell="C10" sqref="C10"/>
    </sheetView>
  </sheetViews>
  <sheetFormatPr defaultRowHeight="15" x14ac:dyDescent="0.25"/>
  <cols>
    <col min="1" max="1" width="2" bestFit="1" customWidth="1"/>
    <col min="3" max="3" width="48.85546875" bestFit="1" customWidth="1"/>
    <col min="4" max="4" width="12" bestFit="1" customWidth="1"/>
    <col min="5" max="5" width="12.7109375" bestFit="1" customWidth="1"/>
    <col min="6" max="6" width="40.140625" bestFit="1" customWidth="1"/>
    <col min="7" max="7" width="52" bestFit="1" customWidth="1"/>
    <col min="8" max="8" width="12" bestFit="1" customWidth="1"/>
    <col min="9" max="9" width="22.28515625" bestFit="1" customWidth="1"/>
    <col min="10" max="10" width="12" bestFit="1" customWidth="1"/>
    <col min="11" max="11" width="26.140625" bestFit="1" customWidth="1"/>
    <col min="12" max="12" width="12" bestFit="1" customWidth="1"/>
    <col min="13" max="13" width="30.140625" bestFit="1" customWidth="1"/>
    <col min="14" max="14" width="32.5703125" bestFit="1" customWidth="1"/>
    <col min="15" max="15" width="21.5703125" bestFit="1" customWidth="1"/>
    <col min="16" max="16" width="93.140625" bestFit="1" customWidth="1"/>
    <col min="17" max="17" width="93" bestFit="1" customWidth="1"/>
    <col min="18" max="18" width="41.140625" bestFit="1" customWidth="1"/>
    <col min="19" max="19" width="21.7109375" bestFit="1" customWidth="1"/>
    <col min="20" max="20" width="35.7109375" bestFit="1" customWidth="1"/>
    <col min="21" max="21" width="38.42578125" bestFit="1" customWidth="1"/>
    <col min="22" max="22" width="35.7109375" bestFit="1" customWidth="1"/>
    <col min="23" max="23" width="28.85546875" bestFit="1" customWidth="1"/>
    <col min="24" max="24" width="12" bestFit="1" customWidth="1"/>
    <col min="25" max="25" width="20.140625" bestFit="1" customWidth="1"/>
    <col min="26" max="26" width="33" bestFit="1" customWidth="1"/>
    <col min="27" max="27" width="72.7109375" bestFit="1" customWidth="1"/>
    <col min="28" max="28" width="88.5703125" bestFit="1" customWidth="1"/>
    <col min="29" max="29" width="12" bestFit="1" customWidth="1"/>
    <col min="30" max="30" width="12.140625" bestFit="1" customWidth="1"/>
    <col min="31" max="31" width="11" bestFit="1" customWidth="1"/>
    <col min="32" max="32" width="53" bestFit="1" customWidth="1"/>
    <col min="33" max="33" width="12" bestFit="1" customWidth="1"/>
    <col min="34" max="34" width="28.140625" bestFit="1" customWidth="1"/>
    <col min="35" max="35" width="15.28515625" bestFit="1" customWidth="1"/>
    <col min="36" max="36" width="12" bestFit="1" customWidth="1"/>
    <col min="37" max="37" width="36.140625" bestFit="1" customWidth="1"/>
    <col min="38" max="38" width="14.42578125" bestFit="1" customWidth="1"/>
    <col min="39" max="39" width="20.5703125" bestFit="1" customWidth="1"/>
    <col min="40" max="40" width="31.85546875" bestFit="1" customWidth="1"/>
    <col min="41" max="41" width="29.42578125" bestFit="1" customWidth="1"/>
    <col min="42" max="42" width="20.85546875" bestFit="1" customWidth="1"/>
    <col min="43" max="43" width="19.42578125" bestFit="1" customWidth="1"/>
    <col min="44" max="44" width="18.85546875" bestFit="1" customWidth="1"/>
    <col min="45" max="45" width="35.85546875" bestFit="1" customWidth="1"/>
    <col min="46" max="46" width="92.28515625" bestFit="1" customWidth="1"/>
    <col min="47" max="47" width="34.28515625" bestFit="1" customWidth="1"/>
    <col min="48" max="48" width="13.7109375" bestFit="1" customWidth="1"/>
    <col min="49" max="49" width="28.85546875" bestFit="1" customWidth="1"/>
    <col min="50" max="50" width="50.42578125" bestFit="1" customWidth="1"/>
    <col min="51" max="51" width="16" bestFit="1" customWidth="1"/>
    <col min="52" max="52" width="17.28515625" bestFit="1" customWidth="1"/>
    <col min="53" max="53" width="28.28515625" bestFit="1" customWidth="1"/>
    <col min="54" max="54" width="15.7109375" bestFit="1" customWidth="1"/>
    <col min="55" max="55" width="26.5703125" bestFit="1" customWidth="1"/>
    <col min="56" max="56" width="12" bestFit="1" customWidth="1"/>
    <col min="57" max="57" width="28.28515625" bestFit="1" customWidth="1"/>
    <col min="58" max="58" width="57" bestFit="1" customWidth="1"/>
    <col min="59" max="59" width="35.140625" bestFit="1" customWidth="1"/>
    <col min="60" max="60" width="9.28515625" bestFit="1" customWidth="1"/>
    <col min="61" max="61" width="28.28515625" bestFit="1" customWidth="1"/>
    <col min="62" max="62" width="36" bestFit="1" customWidth="1"/>
    <col min="63" max="63" width="41.7109375" bestFit="1" customWidth="1"/>
  </cols>
  <sheetData>
    <row r="1" spans="1:63" x14ac:dyDescent="0.25">
      <c r="A1">
        <v>4</v>
      </c>
    </row>
    <row r="9" spans="1:63" x14ac:dyDescent="0.25">
      <c r="C9" t="s">
        <v>1</v>
      </c>
      <c r="D9" t="s">
        <v>2</v>
      </c>
      <c r="E9" t="s">
        <v>3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  <c r="L9" t="s">
        <v>10</v>
      </c>
      <c r="M9" t="s">
        <v>11</v>
      </c>
      <c r="N9" t="s">
        <v>12</v>
      </c>
      <c r="O9" t="s">
        <v>13</v>
      </c>
      <c r="P9" t="s">
        <v>14</v>
      </c>
      <c r="Q9" t="s">
        <v>15</v>
      </c>
      <c r="R9" t="s">
        <v>16</v>
      </c>
      <c r="S9" t="s">
        <v>17</v>
      </c>
      <c r="T9" t="s">
        <v>18</v>
      </c>
      <c r="U9" t="s">
        <v>19</v>
      </c>
      <c r="V9" t="s">
        <v>20</v>
      </c>
      <c r="W9" t="s">
        <v>21</v>
      </c>
      <c r="X9" t="s">
        <v>22</v>
      </c>
      <c r="Y9" t="s">
        <v>23</v>
      </c>
      <c r="Z9" t="s">
        <v>24</v>
      </c>
      <c r="AA9" t="s">
        <v>25</v>
      </c>
      <c r="AB9" t="s">
        <v>26</v>
      </c>
      <c r="AC9" t="s">
        <v>27</v>
      </c>
      <c r="AD9" t="s">
        <v>28</v>
      </c>
      <c r="AE9" t="s">
        <v>29</v>
      </c>
      <c r="AF9" t="s">
        <v>30</v>
      </c>
      <c r="AG9" t="s">
        <v>31</v>
      </c>
      <c r="AH9" t="s">
        <v>32</v>
      </c>
      <c r="AI9" t="s">
        <v>33</v>
      </c>
      <c r="AJ9" t="s">
        <v>34</v>
      </c>
      <c r="AK9" t="s">
        <v>35</v>
      </c>
      <c r="AL9" t="s">
        <v>36</v>
      </c>
      <c r="AM9" t="s">
        <v>37</v>
      </c>
      <c r="AN9" t="s">
        <v>38</v>
      </c>
      <c r="AO9" t="s">
        <v>39</v>
      </c>
      <c r="AP9" t="s">
        <v>40</v>
      </c>
      <c r="AQ9" t="s">
        <v>41</v>
      </c>
      <c r="AR9" t="s">
        <v>42</v>
      </c>
      <c r="AS9" t="s">
        <v>43</v>
      </c>
      <c r="AT9" t="s">
        <v>44</v>
      </c>
      <c r="AU9" t="s">
        <v>45</v>
      </c>
      <c r="AV9" t="s">
        <v>46</v>
      </c>
      <c r="AW9" t="s">
        <v>47</v>
      </c>
      <c r="AX9" t="s">
        <v>48</v>
      </c>
      <c r="AY9" t="s">
        <v>49</v>
      </c>
      <c r="AZ9" t="s">
        <v>50</v>
      </c>
      <c r="BA9" t="s">
        <v>51</v>
      </c>
      <c r="BB9" t="s">
        <v>52</v>
      </c>
      <c r="BC9" t="s">
        <v>53</v>
      </c>
      <c r="BD9" t="s">
        <v>54</v>
      </c>
      <c r="BE9" t="s">
        <v>55</v>
      </c>
      <c r="BF9" t="s">
        <v>56</v>
      </c>
      <c r="BG9" t="s">
        <v>57</v>
      </c>
      <c r="BH9" t="s">
        <v>58</v>
      </c>
      <c r="BI9" t="s">
        <v>51</v>
      </c>
      <c r="BJ9" t="s">
        <v>59</v>
      </c>
      <c r="BK9" t="s">
        <v>60</v>
      </c>
    </row>
    <row r="10" spans="1:63" x14ac:dyDescent="0.25">
      <c r="C10">
        <f>IF($A$1&lt;&gt;0,INDEX('Bens e Direitos'!$A:$BJ,Planilha1!$A$1,Planilha2!A1)," ")</f>
        <v>454157.47720000002</v>
      </c>
      <c r="D10">
        <f>IF($A$1&lt;&gt;0,INDEX('Bens e Direitos'!$A:$BJ,Planilha1!$A$1,Planilha2!B1)," ")</f>
        <v>3126.573347</v>
      </c>
      <c r="E10">
        <f>IF($A$1&lt;&gt;0,INDEX('Bens e Direitos'!$A:$BJ,Planilha1!$A$1,Planilha2!C1)," ")</f>
        <v>1386696.8929999999</v>
      </c>
      <c r="F10">
        <f>IF($A$1&lt;&gt;0,INDEX('Bens e Direitos'!$A:$BJ,Planilha1!$A$1,Planilha2!D1)," ")</f>
        <v>688038.52419999999</v>
      </c>
      <c r="G10">
        <f>IF($A$1&lt;&gt;0,INDEX('Bens e Direitos'!$A:$BJ,Planilha1!$A$1,Planilha2!E1)," ")</f>
        <v>5342.1298459999998</v>
      </c>
      <c r="H10">
        <f>IF($A$1&lt;&gt;0,INDEX('Bens e Direitos'!$A:$BJ,Planilha1!$A$1,Planilha2!F1)," ")</f>
        <v>33885.513599999998</v>
      </c>
      <c r="I10">
        <f>IF($A$1&lt;&gt;0,INDEX('Bens e Direitos'!$A:$BJ,Planilha1!$A$1,Planilha2!G1)," ")</f>
        <v>361726.84</v>
      </c>
      <c r="J10">
        <f>IF($A$1&lt;&gt;0,INDEX('Bens e Direitos'!$A:$BJ,Planilha1!$A$1,Planilha2!H1)," ")</f>
        <v>1089488.574</v>
      </c>
      <c r="K10">
        <f>IF($A$1&lt;&gt;0,INDEX('Bens e Direitos'!$A:$BJ,Planilha1!$A$1,Planilha2!I1)," ")</f>
        <v>20419.12428</v>
      </c>
      <c r="L10">
        <f>IF($A$1&lt;&gt;0,INDEX('Bens e Direitos'!$A:$BJ,Planilha1!$A$1,Planilha2!J1)," ")</f>
        <v>86905.187300000005</v>
      </c>
      <c r="M10">
        <f>IF($A$1&lt;&gt;0,INDEX('Bens e Direitos'!$A:$BJ,Planilha1!$A$1,Planilha2!K1)," ")</f>
        <v>41619.511700000003</v>
      </c>
      <c r="N10">
        <f>IF($A$1&lt;&gt;0,INDEX('Bens e Direitos'!$A:$BJ,Planilha1!$A$1,Planilha2!L1)," ")</f>
        <v>303126.59240000002</v>
      </c>
      <c r="O10">
        <f>IF($A$1&lt;&gt;0,INDEX('Bens e Direitos'!$A:$BJ,Planilha1!$A$1,Planilha2!M1)," ")</f>
        <v>0</v>
      </c>
      <c r="P10">
        <f>IF($A$1&lt;&gt;0,INDEX('Bens e Direitos'!$A:$BJ,Planilha1!$A$1,Planilha2!N1)," ")</f>
        <v>0</v>
      </c>
      <c r="Q10">
        <f>IF($A$1&lt;&gt;0,INDEX('Bens e Direitos'!$A:$BJ,Planilha1!$A$1,Planilha2!O1)," ")</f>
        <v>46872.15307</v>
      </c>
      <c r="R10">
        <f>IF($A$1&lt;&gt;0,INDEX('Bens e Direitos'!$A:$BJ,Planilha1!$A$1,Planilha2!P1)," ")</f>
        <v>69184.271139999997</v>
      </c>
      <c r="S10">
        <f>IF($A$1&lt;&gt;0,INDEX('Bens e Direitos'!$A:$BJ,Planilha1!$A$1,Planilha2!Q1)," ")</f>
        <v>0</v>
      </c>
      <c r="T10">
        <f>IF($A$1&lt;&gt;0,INDEX('Bens e Direitos'!$A:$BJ,Planilha1!$A$1,Planilha2!R1)," ")</f>
        <v>209484.77859999999</v>
      </c>
      <c r="U10">
        <f>IF($A$1&lt;&gt;0,INDEX('Bens e Direitos'!$A:$BJ,Planilha1!$A$1,Planilha2!S1)," ")</f>
        <v>0</v>
      </c>
      <c r="V10">
        <f>IF($A$1&lt;&gt;0,INDEX('Bens e Direitos'!$A:$BJ,Planilha1!$A$1,Planilha2!T1)," ")</f>
        <v>6881.3883029999997</v>
      </c>
      <c r="W10">
        <f>IF($A$1&lt;&gt;0,INDEX('Bens e Direitos'!$A:$BJ,Planilha1!$A$1,Planilha2!U1)," ")</f>
        <v>1728.2405060000001</v>
      </c>
      <c r="X10">
        <f>IF($A$1&lt;&gt;0,INDEX('Bens e Direitos'!$A:$BJ,Planilha1!$A$1,Planilha2!V1)," ")</f>
        <v>8521.6437879999994</v>
      </c>
      <c r="Y10">
        <f>IF($A$1&lt;&gt;0,INDEX('Bens e Direitos'!$A:$BJ,Planilha1!$A$1,Planilha2!W1)," ")</f>
        <v>116891.6333</v>
      </c>
      <c r="Z10">
        <f>IF($A$1&lt;&gt;0,INDEX('Bens e Direitos'!$A:$BJ,Planilha1!$A$1,Planilha2!X1)," ")</f>
        <v>49405.949419999997</v>
      </c>
      <c r="AA10">
        <f>IF($A$1&lt;&gt;0,INDEX('Bens e Direitos'!$A:$BJ,Planilha1!$A$1,Planilha2!Y1)," ")</f>
        <v>379790.77850000001</v>
      </c>
      <c r="AB10">
        <f>IF($A$1&lt;&gt;0,INDEX('Bens e Direitos'!$A:$BJ,Planilha1!$A$1,Planilha2!Z1)," ")</f>
        <v>113135.73510000001</v>
      </c>
      <c r="AC10">
        <f>IF($A$1&lt;&gt;0,INDEX('Bens e Direitos'!$A:$BJ,Planilha1!$A$1,Planilha2!AA1)," ")</f>
        <v>15023.043600000001</v>
      </c>
      <c r="AD10">
        <f>IF($A$1&lt;&gt;0,INDEX('Bens e Direitos'!$A:$BJ,Planilha1!$A$1,Planilha2!AB1)," ")</f>
        <v>351582.35220000002</v>
      </c>
      <c r="AE10">
        <f>IF($A$1&lt;&gt;0,INDEX('Bens e Direitos'!$A:$BJ,Planilha1!$A$1,Planilha2!AC1)," ")</f>
        <v>0</v>
      </c>
      <c r="AF10">
        <f>IF($A$1&lt;&gt;0,INDEX('Bens e Direitos'!$A:$BJ,Planilha1!$A$1,Planilha2!AD1)," ")</f>
        <v>15206.734340000001</v>
      </c>
      <c r="AG10">
        <f>IF($A$1&lt;&gt;0,INDEX('Bens e Direitos'!$A:$BJ,Planilha1!$A$1,Planilha2!AE1)," ")</f>
        <v>399.8995074</v>
      </c>
      <c r="AH10">
        <f>IF($A$1&lt;&gt;0,INDEX('Bens e Direitos'!$A:$BJ,Planilha1!$A$1,Planilha2!AF1)," ")</f>
        <v>566.28130520000002</v>
      </c>
      <c r="AI10">
        <f>IF($A$1&lt;&gt;0,INDEX('Bens e Direitos'!$A:$BJ,Planilha1!$A$1,Planilha2!AG1)," ")</f>
        <v>2042.1001020000001</v>
      </c>
      <c r="AJ10">
        <f>IF($A$1&lt;&gt;0,INDEX('Bens e Direitos'!$A:$BJ,Planilha1!$A$1,Planilha2!AH1)," ")</f>
        <v>19679.643759999999</v>
      </c>
      <c r="AK10">
        <f>IF($A$1&lt;&gt;0,INDEX('Bens e Direitos'!$A:$BJ,Planilha1!$A$1,Planilha2!AI1)," ")</f>
        <v>1642.4592620000001</v>
      </c>
      <c r="AL10">
        <f>IF($A$1&lt;&gt;0,INDEX('Bens e Direitos'!$A:$BJ,Planilha1!$A$1,Planilha2!AJ1)," ")</f>
        <v>7021.6662679999999</v>
      </c>
      <c r="AM10">
        <f>IF($A$1&lt;&gt;0,INDEX('Bens e Direitos'!$A:$BJ,Planilha1!$A$1,Planilha2!AK1)," ")</f>
        <v>11459.842860000001</v>
      </c>
      <c r="AN10">
        <f>IF($A$1&lt;&gt;0,INDEX('Bens e Direitos'!$A:$BJ,Planilha1!$A$1,Planilha2!AL1)," ")</f>
        <v>245196.96179999999</v>
      </c>
      <c r="AO10">
        <f>IF($A$1&lt;&gt;0,INDEX('Bens e Direitos'!$A:$BJ,Planilha1!$A$1,Planilha2!AM1)," ")</f>
        <v>91660.268150000004</v>
      </c>
      <c r="AP10">
        <f>IF($A$1&lt;&gt;0,INDEX('Bens e Direitos'!$A:$BJ,Planilha1!$A$1,Planilha2!AN1)," ")</f>
        <v>265882.1263</v>
      </c>
      <c r="AQ10">
        <f>IF($A$1&lt;&gt;0,INDEX('Bens e Direitos'!$A:$BJ,Planilha1!$A$1,Planilha2!AO1)," ")</f>
        <v>45229.181850000001</v>
      </c>
      <c r="AR10">
        <f>IF($A$1&lt;&gt;0,INDEX('Bens e Direitos'!$A:$BJ,Planilha1!$A$1,Planilha2!AP1)," ")</f>
        <v>5788.5080550000002</v>
      </c>
      <c r="AS10">
        <f>IF($A$1&lt;&gt;0,INDEX('Bens e Direitos'!$A:$BJ,Planilha1!$A$1,Planilha2!AQ1)," ")</f>
        <v>25734.64645</v>
      </c>
      <c r="AT10">
        <f>IF($A$1&lt;&gt;0,INDEX('Bens e Direitos'!$A:$BJ,Planilha1!$A$1,Planilha2!AR1)," ")</f>
        <v>0</v>
      </c>
      <c r="AU10">
        <f>IF($A$1&lt;&gt;0,INDEX('Bens e Direitos'!$A:$BJ,Planilha1!$A$1,Planilha2!AS1)," ")</f>
        <v>11243.682419999999</v>
      </c>
      <c r="AV10">
        <f>IF($A$1&lt;&gt;0,INDEX('Bens e Direitos'!$A:$BJ,Planilha1!$A$1,Planilha2!AT1)," ")</f>
        <v>130773.94349999999</v>
      </c>
      <c r="AW10">
        <f>IF($A$1&lt;&gt;0,INDEX('Bens e Direitos'!$A:$BJ,Planilha1!$A$1,Planilha2!AU1)," ")</f>
        <v>2684.5614860000001</v>
      </c>
      <c r="AX10">
        <f>IF($A$1&lt;&gt;0,INDEX('Bens e Direitos'!$A:$BJ,Planilha1!$A$1,Planilha2!AV1)," ")</f>
        <v>5716.1180770000001</v>
      </c>
      <c r="AY10">
        <f>IF($A$1&lt;&gt;0,INDEX('Bens e Direitos'!$A:$BJ,Planilha1!$A$1,Planilha2!AW1)," ")</f>
        <v>74127.916740000001</v>
      </c>
      <c r="AZ10">
        <f>IF($A$1&lt;&gt;0,INDEX('Bens e Direitos'!$A:$BJ,Planilha1!$A$1,Planilha2!AX1)," ")</f>
        <v>112616.368</v>
      </c>
      <c r="BA10">
        <f>IF($A$1&lt;&gt;0,INDEX('Bens e Direitos'!$A:$BJ,Planilha1!$A$1,Planilha2!AY1)," ")</f>
        <v>879323.53579999995</v>
      </c>
      <c r="BB10">
        <f>IF($A$1&lt;&gt;0,INDEX('Bens e Direitos'!$A:$BJ,Planilha1!$A$1,Planilha2!AZ1)," ")</f>
        <v>74257.087109999993</v>
      </c>
      <c r="BC10">
        <f>IF($A$1&lt;&gt;0,INDEX('Bens e Direitos'!$A:$BJ,Planilha1!$A$1,Planilha2!BA1)," ")</f>
        <v>57.66186725</v>
      </c>
      <c r="BD10">
        <f>IF($A$1&lt;&gt;0,INDEX('Bens e Direitos'!$A:$BJ,Planilha1!$A$1,Planilha2!BB1)," ")</f>
        <v>426990.09409999999</v>
      </c>
      <c r="BE10">
        <f>IF($A$1&lt;&gt;0,INDEX('Bens e Direitos'!$A:$BJ,Planilha1!$A$1,Planilha2!BC1)," ")</f>
        <v>1519.7439710000001</v>
      </c>
      <c r="BF10">
        <f>IF($A$1&lt;&gt;0,INDEX('Bens e Direitos'!$A:$BJ,Planilha1!$A$1,Planilha2!BD1)," ")</f>
        <v>611954.88899999997</v>
      </c>
      <c r="BG10">
        <f>IF($A$1&lt;&gt;0,INDEX('Bens e Direitos'!$A:$BJ,Planilha1!$A$1,Planilha2!BE1)," ")</f>
        <v>355445.49609999999</v>
      </c>
      <c r="BH10">
        <f>IF($A$1&lt;&gt;0,INDEX('Bens e Direitos'!$A:$BJ,Planilha1!$A$1,Planilha2!BF1)," ")</f>
        <v>0</v>
      </c>
      <c r="BI10">
        <f>IF($A$1&lt;&gt;0,INDEX('Bens e Direitos'!$A:$BJ,Planilha1!$A$1,Planilha2!BG1)," ")</f>
        <v>0</v>
      </c>
      <c r="BJ10">
        <f>IF($A$1&lt;&gt;0,INDEX('Bens e Direitos'!$A:$BJ,Planilha1!$A$1,Planilha2!BH1)," ")</f>
        <v>0</v>
      </c>
      <c r="BK10">
        <f>IF($A$1&lt;&gt;0,INDEX('Bens e Direitos'!$A:$BJ,Planilha1!$A$1,Planilha2!BI1)," ")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Selecione o ANO de consulta">
                <anchor moveWithCells="1">
                  <from>
                    <xdr:col>1</xdr:col>
                    <xdr:colOff>466725</xdr:colOff>
                    <xdr:row>4</xdr:row>
                    <xdr:rowOff>123825</xdr:rowOff>
                  </from>
                  <to>
                    <xdr:col>2</xdr:col>
                    <xdr:colOff>723900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impar_Clique">
                <anchor moveWithCells="1" sizeWithCells="1">
                  <from>
                    <xdr:col>2</xdr:col>
                    <xdr:colOff>1143000</xdr:colOff>
                    <xdr:row>16</xdr:row>
                    <xdr:rowOff>114300</xdr:rowOff>
                  </from>
                  <to>
                    <xdr:col>2</xdr:col>
                    <xdr:colOff>2085975</xdr:colOff>
                    <xdr:row>19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P1"/>
  <sheetViews>
    <sheetView workbookViewId="0">
      <selection activeCell="C10" sqref="C10"/>
    </sheetView>
  </sheetViews>
  <sheetFormatPr defaultRowHeight="15" x14ac:dyDescent="0.25"/>
  <sheetData>
    <row r="1" spans="1:68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Bens e Direitos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2023-08-28T22:48:11Z</dcterms:created>
  <dcterms:modified xsi:type="dcterms:W3CDTF">2023-08-28T23:01:29Z</dcterms:modified>
</cp:coreProperties>
</file>